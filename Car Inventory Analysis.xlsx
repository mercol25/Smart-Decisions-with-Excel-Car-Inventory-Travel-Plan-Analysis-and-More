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EAT WOMAN\Desktop\DATA ANALYSIS\"/>
    </mc:Choice>
  </mc:AlternateContent>
  <xr:revisionPtr revIDLastSave="0" documentId="13_ncr:1_{A898F438-4C7E-4B6B-A891-DBF169017D47}" xr6:coauthVersionLast="47" xr6:coauthVersionMax="47" xr10:uidLastSave="{00000000-0000-0000-0000-000000000000}"/>
  <bookViews>
    <workbookView xWindow="-108" yWindow="-108" windowWidth="23256" windowHeight="12456" firstSheet="2" activeTab="7" xr2:uid="{AA78B929-E907-4795-A6D7-DB1144C02ED9}"/>
  </bookViews>
  <sheets>
    <sheet name="CAR INVENTORY" sheetId="1" r:id="rId1"/>
    <sheet name="Miles" sheetId="2" r:id="rId2"/>
    <sheet name="PAYMENT LOAN" sheetId="3" r:id="rId3"/>
    <sheet name="SUSAN AND TIM" sheetId="4" r:id="rId4"/>
    <sheet name="ONE YEAR COST" sheetId="5" r:id="rId5"/>
    <sheet name="VACATION" sheetId="6" r:id="rId6"/>
    <sheet name="PRINTING" sheetId="7" r:id="rId7"/>
    <sheet name="CAR" sheetId="8" r:id="rId8"/>
  </sheets>
  <calcPr calcId="181029"/>
  <pivotCaches>
    <pivotCache cacheId="0" r:id="rId9"/>
  </pivotCaches>
</workbook>
</file>

<file path=xl/calcChain.xml><?xml version="1.0" encoding="utf-8"?>
<calcChain xmlns="http://schemas.openxmlformats.org/spreadsheetml/2006/main">
  <c r="I3" i="8" l="1"/>
  <c r="H3" i="8"/>
  <c r="G3" i="8"/>
  <c r="I19" i="7"/>
  <c r="H19" i="7"/>
  <c r="G19" i="7"/>
  <c r="I15" i="7"/>
  <c r="H15" i="7"/>
  <c r="G15" i="7"/>
  <c r="G14" i="7"/>
  <c r="I14" i="7"/>
  <c r="H14" i="7"/>
  <c r="I13" i="7"/>
  <c r="H13" i="7"/>
  <c r="G13" i="7"/>
  <c r="I6" i="7"/>
  <c r="H6" i="7"/>
  <c r="G6" i="7"/>
  <c r="G11" i="7"/>
  <c r="D19" i="7"/>
  <c r="C19" i="7"/>
  <c r="B19" i="7"/>
  <c r="D15" i="7"/>
  <c r="C15" i="7"/>
  <c r="D14" i="7"/>
  <c r="D13" i="7"/>
  <c r="C14" i="7"/>
  <c r="C13" i="7"/>
  <c r="B13" i="7"/>
  <c r="B15" i="7"/>
  <c r="B14" i="7"/>
  <c r="B11" i="7"/>
  <c r="C6" i="7"/>
  <c r="D6" i="7"/>
  <c r="B6" i="7"/>
  <c r="C33" i="6"/>
  <c r="D33" i="6"/>
  <c r="B33" i="6"/>
  <c r="G28" i="6"/>
  <c r="H19" i="6"/>
  <c r="I19" i="6"/>
  <c r="G19" i="6"/>
  <c r="I17" i="6"/>
  <c r="H17" i="6"/>
  <c r="G17" i="6"/>
  <c r="D19" i="6"/>
  <c r="C19" i="6"/>
  <c r="B19" i="6"/>
  <c r="D17" i="6"/>
  <c r="C17" i="6"/>
  <c r="B17" i="6"/>
  <c r="C18" i="5"/>
  <c r="B18" i="5"/>
  <c r="C16" i="5"/>
  <c r="B16" i="5"/>
  <c r="C15" i="5"/>
  <c r="B15" i="5"/>
  <c r="C9" i="5"/>
  <c r="B9" i="5"/>
  <c r="M19" i="4"/>
  <c r="L19" i="4"/>
  <c r="N19" i="4"/>
  <c r="N3" i="4"/>
  <c r="M3" i="4"/>
  <c r="M4" i="4"/>
  <c r="N4" i="4"/>
  <c r="M5" i="4"/>
  <c r="N5" i="4"/>
  <c r="M6" i="4"/>
  <c r="N6" i="4"/>
  <c r="M7" i="4"/>
  <c r="N7" i="4"/>
  <c r="M8" i="4"/>
  <c r="N8" i="4"/>
  <c r="M9" i="4"/>
  <c r="N9" i="4"/>
  <c r="M10" i="4"/>
  <c r="N10" i="4"/>
  <c r="M11" i="4"/>
  <c r="N11" i="4"/>
  <c r="M12" i="4"/>
  <c r="N12" i="4"/>
  <c r="M13" i="4"/>
  <c r="N13" i="4"/>
  <c r="M14" i="4"/>
  <c r="N14" i="4"/>
  <c r="M15" i="4"/>
  <c r="N15" i="4"/>
  <c r="M16" i="4"/>
  <c r="N16" i="4"/>
  <c r="M17" i="4"/>
  <c r="N17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3" i="4"/>
  <c r="G3" i="4"/>
  <c r="G19" i="4"/>
  <c r="H19" i="4"/>
  <c r="I19" i="4"/>
  <c r="G4" i="4"/>
  <c r="H4" i="4"/>
  <c r="I4" i="4"/>
  <c r="G5" i="4"/>
  <c r="H5" i="4"/>
  <c r="I5" i="4"/>
  <c r="G6" i="4"/>
  <c r="H6" i="4"/>
  <c r="I6" i="4"/>
  <c r="G7" i="4"/>
  <c r="H7" i="4"/>
  <c r="I7" i="4"/>
  <c r="G8" i="4"/>
  <c r="H8" i="4"/>
  <c r="I8" i="4"/>
  <c r="G9" i="4"/>
  <c r="H9" i="4"/>
  <c r="I9" i="4"/>
  <c r="G10" i="4"/>
  <c r="H10" i="4"/>
  <c r="I10" i="4"/>
  <c r="G11" i="4"/>
  <c r="H11" i="4"/>
  <c r="I11" i="4"/>
  <c r="G12" i="4"/>
  <c r="H12" i="4"/>
  <c r="I12" i="4"/>
  <c r="G13" i="4"/>
  <c r="H13" i="4"/>
  <c r="I13" i="4"/>
  <c r="G14" i="4"/>
  <c r="H14" i="4"/>
  <c r="I14" i="4"/>
  <c r="G15" i="4"/>
  <c r="H15" i="4"/>
  <c r="I15" i="4"/>
  <c r="G16" i="4"/>
  <c r="H16" i="4"/>
  <c r="I16" i="4"/>
  <c r="G17" i="4"/>
  <c r="H17" i="4"/>
  <c r="I17" i="4"/>
  <c r="H3" i="4"/>
  <c r="I3" i="4"/>
  <c r="F3" i="3"/>
  <c r="G3" i="3" s="1"/>
  <c r="F4" i="3"/>
  <c r="G4" i="3" s="1"/>
  <c r="F5" i="3"/>
  <c r="G5" i="3" s="1"/>
  <c r="F2" i="3"/>
  <c r="G2" i="3" s="1"/>
  <c r="M44" i="1"/>
  <c r="M24" i="1"/>
  <c r="M35" i="1"/>
  <c r="M38" i="1"/>
  <c r="M40" i="1"/>
  <c r="M33" i="1"/>
  <c r="M28" i="1"/>
  <c r="M4" i="1"/>
  <c r="M5" i="1"/>
  <c r="M20" i="1"/>
  <c r="M6" i="1"/>
  <c r="M12" i="1"/>
  <c r="M46" i="1"/>
  <c r="M19" i="1"/>
  <c r="M3" i="1"/>
  <c r="M23" i="1"/>
  <c r="M50" i="1"/>
  <c r="M39" i="1"/>
  <c r="M31" i="1"/>
  <c r="M36" i="1"/>
  <c r="M34" i="1"/>
  <c r="M41" i="1"/>
  <c r="M15" i="1"/>
  <c r="M47" i="1"/>
  <c r="M29" i="1"/>
  <c r="M2" i="1"/>
  <c r="M9" i="1"/>
  <c r="M14" i="1"/>
  <c r="M43" i="1"/>
  <c r="M45" i="1"/>
  <c r="M52" i="1"/>
  <c r="M21" i="1"/>
  <c r="M16" i="1"/>
  <c r="M10" i="1"/>
  <c r="M11" i="1"/>
  <c r="M30" i="1"/>
  <c r="M26" i="1"/>
  <c r="M27" i="1"/>
  <c r="M49" i="1"/>
  <c r="M22" i="1"/>
  <c r="M32" i="1"/>
  <c r="M37" i="1"/>
  <c r="M18" i="1"/>
  <c r="M48" i="1"/>
  <c r="M42" i="1"/>
  <c r="M25" i="1"/>
  <c r="M51" i="1"/>
  <c r="M17" i="1"/>
  <c r="M13" i="1"/>
  <c r="M8" i="1"/>
  <c r="M7" i="1"/>
  <c r="M53" i="1"/>
  <c r="G12" i="1"/>
  <c r="I12" i="1" s="1"/>
  <c r="F44" i="1"/>
  <c r="N44" i="1" s="1"/>
  <c r="F24" i="1"/>
  <c r="F35" i="1"/>
  <c r="G35" i="1" s="1"/>
  <c r="I35" i="1" s="1"/>
  <c r="F38" i="1"/>
  <c r="F40" i="1"/>
  <c r="G40" i="1" s="1"/>
  <c r="I40" i="1" s="1"/>
  <c r="F33" i="1"/>
  <c r="F28" i="1"/>
  <c r="N28" i="1" s="1"/>
  <c r="F4" i="1"/>
  <c r="F5" i="1"/>
  <c r="F20" i="1"/>
  <c r="F6" i="1"/>
  <c r="F12" i="1"/>
  <c r="F46" i="1"/>
  <c r="N46" i="1" s="1"/>
  <c r="F19" i="1"/>
  <c r="F3" i="1"/>
  <c r="N3" i="1" s="1"/>
  <c r="F23" i="1"/>
  <c r="G23" i="1" s="1"/>
  <c r="I23" i="1" s="1"/>
  <c r="F50" i="1"/>
  <c r="G50" i="1" s="1"/>
  <c r="I50" i="1" s="1"/>
  <c r="F39" i="1"/>
  <c r="F31" i="1"/>
  <c r="F36" i="1"/>
  <c r="F34" i="1"/>
  <c r="G34" i="1" s="1"/>
  <c r="I34" i="1" s="1"/>
  <c r="F41" i="1"/>
  <c r="G41" i="1" s="1"/>
  <c r="I41" i="1" s="1"/>
  <c r="F15" i="1"/>
  <c r="F47" i="1"/>
  <c r="F29" i="1"/>
  <c r="N29" i="1" s="1"/>
  <c r="F2" i="1"/>
  <c r="F9" i="1"/>
  <c r="G9" i="1" s="1"/>
  <c r="I9" i="1" s="1"/>
  <c r="F14" i="1"/>
  <c r="G14" i="1" s="1"/>
  <c r="I14" i="1" s="1"/>
  <c r="F43" i="1"/>
  <c r="G43" i="1" s="1"/>
  <c r="I43" i="1" s="1"/>
  <c r="F45" i="1"/>
  <c r="F52" i="1"/>
  <c r="F21" i="1"/>
  <c r="F16" i="1"/>
  <c r="G16" i="1" s="1"/>
  <c r="I16" i="1" s="1"/>
  <c r="F10" i="1"/>
  <c r="G10" i="1" s="1"/>
  <c r="I10" i="1" s="1"/>
  <c r="F11" i="1"/>
  <c r="F30" i="1"/>
  <c r="F26" i="1"/>
  <c r="N26" i="1" s="1"/>
  <c r="F27" i="1"/>
  <c r="F49" i="1"/>
  <c r="G49" i="1" s="1"/>
  <c r="I49" i="1" s="1"/>
  <c r="F22" i="1"/>
  <c r="G22" i="1" s="1"/>
  <c r="I22" i="1" s="1"/>
  <c r="F32" i="1"/>
  <c r="G32" i="1" s="1"/>
  <c r="I32" i="1" s="1"/>
  <c r="F37" i="1"/>
  <c r="F18" i="1"/>
  <c r="F48" i="1"/>
  <c r="F42" i="1"/>
  <c r="G42" i="1" s="1"/>
  <c r="I42" i="1" s="1"/>
  <c r="F25" i="1"/>
  <c r="G25" i="1" s="1"/>
  <c r="I25" i="1" s="1"/>
  <c r="F51" i="1"/>
  <c r="G51" i="1" s="1"/>
  <c r="I51" i="1" s="1"/>
  <c r="F17" i="1"/>
  <c r="N17" i="1" s="1"/>
  <c r="F13" i="1"/>
  <c r="N13" i="1" s="1"/>
  <c r="F8" i="1"/>
  <c r="F7" i="1"/>
  <c r="N7" i="1" s="1"/>
  <c r="F53" i="1"/>
  <c r="D49" i="1"/>
  <c r="E49" i="1" s="1"/>
  <c r="E6" i="1"/>
  <c r="E15" i="1"/>
  <c r="E47" i="1"/>
  <c r="E11" i="1"/>
  <c r="E26" i="1"/>
  <c r="E17" i="1"/>
  <c r="C53" i="1"/>
  <c r="D44" i="1"/>
  <c r="E44" i="1" s="1"/>
  <c r="D24" i="1"/>
  <c r="E24" i="1" s="1"/>
  <c r="D35" i="1"/>
  <c r="E35" i="1" s="1"/>
  <c r="D38" i="1"/>
  <c r="E38" i="1" s="1"/>
  <c r="D40" i="1"/>
  <c r="E40" i="1" s="1"/>
  <c r="D33" i="1"/>
  <c r="E33" i="1" s="1"/>
  <c r="D28" i="1"/>
  <c r="E28" i="1" s="1"/>
  <c r="D4" i="1"/>
  <c r="E4" i="1" s="1"/>
  <c r="D5" i="1"/>
  <c r="E5" i="1" s="1"/>
  <c r="D20" i="1"/>
  <c r="E20" i="1" s="1"/>
  <c r="D6" i="1"/>
  <c r="D12" i="1"/>
  <c r="E12" i="1" s="1"/>
  <c r="D46" i="1"/>
  <c r="E46" i="1" s="1"/>
  <c r="D19" i="1"/>
  <c r="E19" i="1" s="1"/>
  <c r="D3" i="1"/>
  <c r="E3" i="1" s="1"/>
  <c r="D23" i="1"/>
  <c r="E23" i="1" s="1"/>
  <c r="D50" i="1"/>
  <c r="E50" i="1" s="1"/>
  <c r="D39" i="1"/>
  <c r="E39" i="1" s="1"/>
  <c r="D31" i="1"/>
  <c r="E31" i="1" s="1"/>
  <c r="D36" i="1"/>
  <c r="E36" i="1" s="1"/>
  <c r="D34" i="1"/>
  <c r="E34" i="1" s="1"/>
  <c r="D41" i="1"/>
  <c r="E41" i="1" s="1"/>
  <c r="D15" i="1"/>
  <c r="D47" i="1"/>
  <c r="D29" i="1"/>
  <c r="E29" i="1" s="1"/>
  <c r="D2" i="1"/>
  <c r="E2" i="1" s="1"/>
  <c r="D9" i="1"/>
  <c r="E9" i="1" s="1"/>
  <c r="D14" i="1"/>
  <c r="E14" i="1" s="1"/>
  <c r="D43" i="1"/>
  <c r="E43" i="1" s="1"/>
  <c r="D45" i="1"/>
  <c r="E45" i="1" s="1"/>
  <c r="D52" i="1"/>
  <c r="E52" i="1" s="1"/>
  <c r="D21" i="1"/>
  <c r="E21" i="1" s="1"/>
  <c r="D16" i="1"/>
  <c r="E16" i="1" s="1"/>
  <c r="D10" i="1"/>
  <c r="E10" i="1" s="1"/>
  <c r="D11" i="1"/>
  <c r="D30" i="1"/>
  <c r="E30" i="1" s="1"/>
  <c r="D26" i="1"/>
  <c r="D27" i="1"/>
  <c r="E27" i="1" s="1"/>
  <c r="D22" i="1"/>
  <c r="E22" i="1" s="1"/>
  <c r="D32" i="1"/>
  <c r="E32" i="1" s="1"/>
  <c r="D37" i="1"/>
  <c r="E37" i="1" s="1"/>
  <c r="D18" i="1"/>
  <c r="E18" i="1" s="1"/>
  <c r="D48" i="1"/>
  <c r="E48" i="1" s="1"/>
  <c r="D42" i="1"/>
  <c r="E42" i="1" s="1"/>
  <c r="D25" i="1"/>
  <c r="E25" i="1" s="1"/>
  <c r="D51" i="1"/>
  <c r="E51" i="1" s="1"/>
  <c r="D17" i="1"/>
  <c r="D13" i="1"/>
  <c r="E13" i="1" s="1"/>
  <c r="D8" i="1"/>
  <c r="E8" i="1" s="1"/>
  <c r="D7" i="1"/>
  <c r="E7" i="1" s="1"/>
  <c r="D53" i="1"/>
  <c r="E53" i="1" s="1"/>
  <c r="C44" i="1"/>
  <c r="C24" i="1"/>
  <c r="C35" i="1"/>
  <c r="C38" i="1"/>
  <c r="C40" i="1"/>
  <c r="C33" i="1"/>
  <c r="C28" i="1"/>
  <c r="C4" i="1"/>
  <c r="C5" i="1"/>
  <c r="C20" i="1"/>
  <c r="C6" i="1"/>
  <c r="C12" i="1"/>
  <c r="C46" i="1"/>
  <c r="C19" i="1"/>
  <c r="C3" i="1"/>
  <c r="C23" i="1"/>
  <c r="C50" i="1"/>
  <c r="C39" i="1"/>
  <c r="C31" i="1"/>
  <c r="C36" i="1"/>
  <c r="C34" i="1"/>
  <c r="C41" i="1"/>
  <c r="C15" i="1"/>
  <c r="C47" i="1"/>
  <c r="C29" i="1"/>
  <c r="C2" i="1"/>
  <c r="C9" i="1"/>
  <c r="C14" i="1"/>
  <c r="C43" i="1"/>
  <c r="C45" i="1"/>
  <c r="C52" i="1"/>
  <c r="C21" i="1"/>
  <c r="C16" i="1"/>
  <c r="C10" i="1"/>
  <c r="C11" i="1"/>
  <c r="C30" i="1"/>
  <c r="C26" i="1"/>
  <c r="C27" i="1"/>
  <c r="C49" i="1"/>
  <c r="C22" i="1"/>
  <c r="C32" i="1"/>
  <c r="C37" i="1"/>
  <c r="C18" i="1"/>
  <c r="C48" i="1"/>
  <c r="C42" i="1"/>
  <c r="C25" i="1"/>
  <c r="C51" i="1"/>
  <c r="C17" i="1"/>
  <c r="C13" i="1"/>
  <c r="C8" i="1"/>
  <c r="C7" i="1"/>
  <c r="N8" i="1" l="1"/>
  <c r="N27" i="1"/>
  <c r="N2" i="1"/>
  <c r="N19" i="1"/>
  <c r="N24" i="1"/>
  <c r="N30" i="1"/>
  <c r="N47" i="1"/>
  <c r="N12" i="1"/>
  <c r="G26" i="1"/>
  <c r="I26" i="1" s="1"/>
  <c r="N11" i="1"/>
  <c r="N15" i="1"/>
  <c r="N6" i="1"/>
  <c r="G30" i="1"/>
  <c r="I30" i="1" s="1"/>
  <c r="N32" i="1"/>
  <c r="N20" i="1"/>
  <c r="G11" i="1"/>
  <c r="I11" i="1" s="1"/>
  <c r="N43" i="1"/>
  <c r="N5" i="1"/>
  <c r="G29" i="1"/>
  <c r="I29" i="1" s="1"/>
  <c r="N50" i="1"/>
  <c r="N48" i="1"/>
  <c r="N21" i="1"/>
  <c r="N36" i="1"/>
  <c r="N4" i="1"/>
  <c r="G47" i="1"/>
  <c r="I47" i="1" s="1"/>
  <c r="N40" i="1"/>
  <c r="G15" i="1"/>
  <c r="I15" i="1" s="1"/>
  <c r="N35" i="1"/>
  <c r="N37" i="1"/>
  <c r="N45" i="1"/>
  <c r="N39" i="1"/>
  <c r="N33" i="1"/>
  <c r="G46" i="1"/>
  <c r="I46" i="1" s="1"/>
  <c r="N52" i="1"/>
  <c r="N18" i="1"/>
  <c r="N31" i="1"/>
  <c r="N53" i="1"/>
  <c r="N38" i="1"/>
  <c r="G6" i="1"/>
  <c r="I6" i="1" s="1"/>
  <c r="N14" i="1"/>
  <c r="G24" i="1"/>
  <c r="I24" i="1" s="1"/>
  <c r="N49" i="1"/>
  <c r="G53" i="1"/>
  <c r="I53" i="1" s="1"/>
  <c r="G48" i="1"/>
  <c r="I48" i="1" s="1"/>
  <c r="G21" i="1"/>
  <c r="I21" i="1" s="1"/>
  <c r="G36" i="1"/>
  <c r="I36" i="1" s="1"/>
  <c r="G17" i="1"/>
  <c r="I17" i="1" s="1"/>
  <c r="N9" i="1"/>
  <c r="G20" i="1"/>
  <c r="I20" i="1" s="1"/>
  <c r="G18" i="1"/>
  <c r="I18" i="1" s="1"/>
  <c r="G52" i="1"/>
  <c r="I52" i="1" s="1"/>
  <c r="G31" i="1"/>
  <c r="I31" i="1" s="1"/>
  <c r="G7" i="1"/>
  <c r="I7" i="1" s="1"/>
  <c r="N51" i="1"/>
  <c r="N22" i="1"/>
  <c r="G5" i="1"/>
  <c r="I5" i="1" s="1"/>
  <c r="G37" i="1"/>
  <c r="I37" i="1" s="1"/>
  <c r="G45" i="1"/>
  <c r="I45" i="1" s="1"/>
  <c r="G39" i="1"/>
  <c r="I39" i="1" s="1"/>
  <c r="G8" i="1"/>
  <c r="I8" i="1" s="1"/>
  <c r="N25" i="1"/>
  <c r="N10" i="1"/>
  <c r="N41" i="1"/>
  <c r="G38" i="1"/>
  <c r="I38" i="1" s="1"/>
  <c r="G4" i="1"/>
  <c r="I4" i="1" s="1"/>
  <c r="G13" i="1"/>
  <c r="I13" i="1" s="1"/>
  <c r="N42" i="1"/>
  <c r="N16" i="1"/>
  <c r="N34" i="1"/>
  <c r="N23" i="1"/>
  <c r="G28" i="1"/>
  <c r="I28" i="1" s="1"/>
  <c r="G33" i="1"/>
  <c r="I33" i="1" s="1"/>
  <c r="G3" i="1"/>
  <c r="I3" i="1" s="1"/>
  <c r="G27" i="1"/>
  <c r="I27" i="1" s="1"/>
  <c r="G2" i="1"/>
  <c r="I2" i="1" s="1"/>
  <c r="G19" i="1"/>
  <c r="I19" i="1" s="1"/>
  <c r="G44" i="1"/>
  <c r="I44" i="1" s="1"/>
</calcChain>
</file>

<file path=xl/sharedStrings.xml><?xml version="1.0" encoding="utf-8"?>
<sst xmlns="http://schemas.openxmlformats.org/spreadsheetml/2006/main" count="472" uniqueCount="241">
  <si>
    <t>Car ID</t>
  </si>
  <si>
    <t>Make</t>
  </si>
  <si>
    <t>Make (Full Name)</t>
  </si>
  <si>
    <t>Model</t>
  </si>
  <si>
    <t>Model (Full Name)</t>
  </si>
  <si>
    <t>Manufacture Year</t>
  </si>
  <si>
    <t>Age</t>
  </si>
  <si>
    <t>Miles</t>
  </si>
  <si>
    <t>Miles / Year</t>
  </si>
  <si>
    <t>Color</t>
  </si>
  <si>
    <t>Driver</t>
  </si>
  <si>
    <t>Warantee Miles</t>
  </si>
  <si>
    <t>Covered?</t>
  </si>
  <si>
    <t>New Car ID</t>
  </si>
  <si>
    <t>FD06MTG001</t>
  </si>
  <si>
    <t>FD</t>
  </si>
  <si>
    <t>Black</t>
  </si>
  <si>
    <t>Smith</t>
  </si>
  <si>
    <t>FD06MTG002</t>
  </si>
  <si>
    <t>White</t>
  </si>
  <si>
    <t>McCall</t>
  </si>
  <si>
    <t>FD08MTG003</t>
  </si>
  <si>
    <t>Green</t>
  </si>
  <si>
    <t>Lyon</t>
  </si>
  <si>
    <t>FD08MTG004</t>
  </si>
  <si>
    <t>Jones</t>
  </si>
  <si>
    <t>FD08MTG005</t>
  </si>
  <si>
    <t>Ewenty</t>
  </si>
  <si>
    <t>FD06FCS007</t>
  </si>
  <si>
    <t>FD09FCS008</t>
  </si>
  <si>
    <t>Howard</t>
  </si>
  <si>
    <t>FD13FCS009</t>
  </si>
  <si>
    <t>FD13FCS010</t>
  </si>
  <si>
    <t>Praulty</t>
  </si>
  <si>
    <t>FD12FCS011</t>
  </si>
  <si>
    <t>Yousef</t>
  </si>
  <si>
    <t>FD13FCS012</t>
  </si>
  <si>
    <t>Vizzini</t>
  </si>
  <si>
    <t>FD13FCS013</t>
  </si>
  <si>
    <t>Rodriguez</t>
  </si>
  <si>
    <t>GM</t>
  </si>
  <si>
    <t>Santos</t>
  </si>
  <si>
    <t>GM12CMR015</t>
  </si>
  <si>
    <t>Bard</t>
  </si>
  <si>
    <t>GM14CMR016</t>
  </si>
  <si>
    <t>Torrens</t>
  </si>
  <si>
    <t>GM10SLV017</t>
  </si>
  <si>
    <t>Hulinski</t>
  </si>
  <si>
    <t>GM98SLV018</t>
  </si>
  <si>
    <t>GM00SLV019</t>
  </si>
  <si>
    <t>Blue</t>
  </si>
  <si>
    <t>TY96CAM020</t>
  </si>
  <si>
    <t>TY</t>
  </si>
  <si>
    <t>Chan</t>
  </si>
  <si>
    <t>TY98CAM021</t>
  </si>
  <si>
    <t>Swartz</t>
  </si>
  <si>
    <t>TY00CAM022</t>
  </si>
  <si>
    <t>TY02CAM023</t>
  </si>
  <si>
    <t>TY09CAM024</t>
  </si>
  <si>
    <t>TY02COR025</t>
  </si>
  <si>
    <t>Red</t>
  </si>
  <si>
    <t>Gaul</t>
  </si>
  <si>
    <t>TY03COR026</t>
  </si>
  <si>
    <t>TY14COR027</t>
  </si>
  <si>
    <t>TY12COR028</t>
  </si>
  <si>
    <t>TY12CAM029</t>
  </si>
  <si>
    <t>HO99CIV030</t>
  </si>
  <si>
    <t>HO</t>
  </si>
  <si>
    <t>HO01CIV031</t>
  </si>
  <si>
    <t>HO10CIV032</t>
  </si>
  <si>
    <t>HO10CIV033</t>
  </si>
  <si>
    <t>HO11CIV034</t>
  </si>
  <si>
    <t>HO12CIV035</t>
  </si>
  <si>
    <t>HO13CIV036</t>
  </si>
  <si>
    <t>HO07ODY038</t>
  </si>
  <si>
    <t>HO08ODY039</t>
  </si>
  <si>
    <t>HO14ODY041</t>
  </si>
  <si>
    <t>CR04PTC042</t>
  </si>
  <si>
    <t>CR</t>
  </si>
  <si>
    <t>CR07PTC043</t>
  </si>
  <si>
    <t>CR11PTC044</t>
  </si>
  <si>
    <t>CR99CAR045</t>
  </si>
  <si>
    <t>CR00CAR046</t>
  </si>
  <si>
    <t>CR04CAR047</t>
  </si>
  <si>
    <t>CR04CAR048</t>
  </si>
  <si>
    <t>HY11ELA049</t>
  </si>
  <si>
    <t>HY</t>
  </si>
  <si>
    <t>HY12ELA050</t>
  </si>
  <si>
    <t>HY13ELA051</t>
  </si>
  <si>
    <t>HY13ELA052</t>
  </si>
  <si>
    <t>Chrysler</t>
  </si>
  <si>
    <t>General Motors</t>
  </si>
  <si>
    <t>Ford</t>
  </si>
  <si>
    <t>Honda</t>
  </si>
  <si>
    <t>Hundai</t>
  </si>
  <si>
    <t>Toyota</t>
  </si>
  <si>
    <t>CAM</t>
  </si>
  <si>
    <t>Camrey</t>
  </si>
  <si>
    <t>ELA</t>
  </si>
  <si>
    <t>Elantra</t>
  </si>
  <si>
    <t>FCS</t>
  </si>
  <si>
    <t>Focus</t>
  </si>
  <si>
    <t>CMR</t>
  </si>
  <si>
    <t>Camero</t>
  </si>
  <si>
    <t>COR</t>
  </si>
  <si>
    <t>Corola</t>
  </si>
  <si>
    <t>CAR</t>
  </si>
  <si>
    <t>Caravan</t>
  </si>
  <si>
    <t>CIV</t>
  </si>
  <si>
    <t>Civic</t>
  </si>
  <si>
    <t>MTG</t>
  </si>
  <si>
    <t>Mustang</t>
  </si>
  <si>
    <t>ODY</t>
  </si>
  <si>
    <t>Odyssey</t>
  </si>
  <si>
    <t>PTC</t>
  </si>
  <si>
    <t>PT Cruiser</t>
  </si>
  <si>
    <t>SLV</t>
  </si>
  <si>
    <t>Silverado</t>
  </si>
  <si>
    <t>HO01ODY040</t>
  </si>
  <si>
    <t>GM09CMR014</t>
  </si>
  <si>
    <t>HO05ODY037</t>
  </si>
  <si>
    <t>FD06FCS006</t>
  </si>
  <si>
    <t>Row Labels</t>
  </si>
  <si>
    <t>Grand Total</t>
  </si>
  <si>
    <t>Sum of Miles</t>
  </si>
  <si>
    <t>PRINCIPAL</t>
  </si>
  <si>
    <t>INTEREST RATE</t>
  </si>
  <si>
    <t>MONTHS</t>
  </si>
  <si>
    <t>INTEREST PAID</t>
  </si>
  <si>
    <t>TOTAL LOAN PAID</t>
  </si>
  <si>
    <t>MONTHLY PAYMENTS</t>
  </si>
  <si>
    <t>Loan A</t>
  </si>
  <si>
    <t>Loan B</t>
  </si>
  <si>
    <t>Loan C</t>
  </si>
  <si>
    <t>Loan D</t>
  </si>
  <si>
    <t>Waltmart</t>
  </si>
  <si>
    <t>Dollar trap</t>
  </si>
  <si>
    <t>Office report</t>
  </si>
  <si>
    <t>Ball point pen</t>
  </si>
  <si>
    <t>T1 - 35 calculator</t>
  </si>
  <si>
    <t>100 page notebook</t>
  </si>
  <si>
    <t>8 oz glue</t>
  </si>
  <si>
    <t>Clear tape</t>
  </si>
  <si>
    <t>Eraser</t>
  </si>
  <si>
    <t>10 No. 2 Pencils</t>
  </si>
  <si>
    <t>2 inch binder</t>
  </si>
  <si>
    <t>USB stick 5gb</t>
  </si>
  <si>
    <t>8 color markers</t>
  </si>
  <si>
    <t>Stapler</t>
  </si>
  <si>
    <t>Planner book</t>
  </si>
  <si>
    <t>Protractor</t>
  </si>
  <si>
    <t>Compass</t>
  </si>
  <si>
    <t>Liquid Paper</t>
  </si>
  <si>
    <t>SUSAN</t>
  </si>
  <si>
    <t>Total</t>
  </si>
  <si>
    <t>TIM</t>
  </si>
  <si>
    <t>Dog</t>
  </si>
  <si>
    <t>Cat</t>
  </si>
  <si>
    <t>Initial</t>
  </si>
  <si>
    <t>Purchase</t>
  </si>
  <si>
    <t>Collar</t>
  </si>
  <si>
    <t>Tag</t>
  </si>
  <si>
    <t>Bowl</t>
  </si>
  <si>
    <t>Leash</t>
  </si>
  <si>
    <t>Initial Total</t>
  </si>
  <si>
    <t>Monthly</t>
  </si>
  <si>
    <t>Food</t>
  </si>
  <si>
    <t>Litter</t>
  </si>
  <si>
    <t>Treats</t>
  </si>
  <si>
    <t>Sub total</t>
  </si>
  <si>
    <t>Monthly total</t>
  </si>
  <si>
    <t>One year cost</t>
  </si>
  <si>
    <t>CHICAGO</t>
  </si>
  <si>
    <t>ORLANDO</t>
  </si>
  <si>
    <t>MIAMI</t>
  </si>
  <si>
    <t>Per Person Expenses</t>
  </si>
  <si>
    <t>Air fare</t>
  </si>
  <si>
    <t>Natural History</t>
  </si>
  <si>
    <t>Chicago Museum of Art</t>
  </si>
  <si>
    <t>Science Museum</t>
  </si>
  <si>
    <t>Museum of Broadcast History</t>
  </si>
  <si>
    <t>Disneyland</t>
  </si>
  <si>
    <t>Universal Studios</t>
  </si>
  <si>
    <t>Sea World</t>
  </si>
  <si>
    <t>Busch Gardens</t>
  </si>
  <si>
    <t>Cruise</t>
  </si>
  <si>
    <t>Hotel Expenses</t>
  </si>
  <si>
    <t>Number of Nights</t>
  </si>
  <si>
    <t>Hotel Cost per Nights</t>
  </si>
  <si>
    <t>Hotel Cost total</t>
  </si>
  <si>
    <t>Subtotal of Ticket(per person)</t>
  </si>
  <si>
    <t>Number od people(per group)</t>
  </si>
  <si>
    <t>Total cost of tickets</t>
  </si>
  <si>
    <t>Car rental Expense per day</t>
  </si>
  <si>
    <t>Number of Days</t>
  </si>
  <si>
    <t>Total rental car expenses</t>
  </si>
  <si>
    <t>Food Expenses per person per day</t>
  </si>
  <si>
    <t>Subtotal of foos expenses</t>
  </si>
  <si>
    <t>Chicago Museum</t>
  </si>
  <si>
    <t>Oriando Theme Park</t>
  </si>
  <si>
    <t>Miami Cruise</t>
  </si>
  <si>
    <t>Susan</t>
  </si>
  <si>
    <t>HV</t>
  </si>
  <si>
    <t>Zero</t>
  </si>
  <si>
    <t>Epsilon</t>
  </si>
  <si>
    <t>Purchase price</t>
  </si>
  <si>
    <t>Cost of Set of Catridges</t>
  </si>
  <si>
    <t>Pages Catridge can print</t>
  </si>
  <si>
    <t xml:space="preserve">Cost per page </t>
  </si>
  <si>
    <t>Expected pages per day</t>
  </si>
  <si>
    <t>Days in week</t>
  </si>
  <si>
    <t>Total Pages in year</t>
  </si>
  <si>
    <t>Week in  year</t>
  </si>
  <si>
    <t>Pages per week</t>
  </si>
  <si>
    <t>Printing costs per year</t>
  </si>
  <si>
    <t>Years</t>
  </si>
  <si>
    <t>Total Printing cost</t>
  </si>
  <si>
    <t>Total cost</t>
  </si>
  <si>
    <t>Tim</t>
  </si>
  <si>
    <t>SPARK</t>
  </si>
  <si>
    <t>MUSTANG</t>
  </si>
  <si>
    <t>ESCALADE</t>
  </si>
  <si>
    <t>Initial costs</t>
  </si>
  <si>
    <t>Purchase Price</t>
  </si>
  <si>
    <t>Taxes</t>
  </si>
  <si>
    <t>Yearly cost</t>
  </si>
  <si>
    <t>Insurance</t>
  </si>
  <si>
    <t>License</t>
  </si>
  <si>
    <t>Gas</t>
  </si>
  <si>
    <t>Gas cost calculation</t>
  </si>
  <si>
    <t>Miles per year driven</t>
  </si>
  <si>
    <t>MPG</t>
  </si>
  <si>
    <t>Price per gal of gas</t>
  </si>
  <si>
    <t>Total annual gas purchases</t>
  </si>
  <si>
    <t>Total Annual Costs(Ins + Lis + Gas)</t>
  </si>
  <si>
    <t>Miles to drive each year</t>
  </si>
  <si>
    <t>Susan's goal for maximum miles</t>
  </si>
  <si>
    <t>Total life of the car(Years)</t>
  </si>
  <si>
    <t>Annual costs X years of life</t>
  </si>
  <si>
    <t>Total lifetime cost</t>
  </si>
  <si>
    <t>Avg cost per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</si>
</sst>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$-409]* #,##0.00_);_([$$-409]* \(#,##0.00\);_([$$-409]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wrapText="1"/>
    </xf>
    <xf numFmtId="43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6" fontId="0" fillId="0" borderId="0" xfId="0" applyNumberFormat="1"/>
    <xf numFmtId="9" fontId="0" fillId="0" borderId="0" xfId="0" applyNumberFormat="1"/>
    <xf numFmtId="8" fontId="0" fillId="0" borderId="0" xfId="0" applyNumberFormat="1"/>
    <xf numFmtId="2" fontId="0" fillId="0" borderId="0" xfId="0" applyNumberFormat="1"/>
    <xf numFmtId="44" fontId="0" fillId="0" borderId="0" xfId="43" applyFont="1"/>
    <xf numFmtId="0" fontId="18" fillId="0" borderId="0" xfId="0" applyFont="1"/>
    <xf numFmtId="164" fontId="0" fillId="0" borderId="0" xfId="43" applyNumberFormat="1" applyFont="1"/>
    <xf numFmtId="44" fontId="0" fillId="0" borderId="0" xfId="0" applyNumberFormat="1"/>
    <xf numFmtId="0" fontId="19" fillId="0" borderId="0" xfId="0" applyFont="1"/>
    <xf numFmtId="0" fontId="0" fillId="33" borderId="0" xfId="0" applyFill="1"/>
    <xf numFmtId="44" fontId="0" fillId="33" borderId="0" xfId="0" applyNumberFormat="1" applyFill="1"/>
    <xf numFmtId="44" fontId="0" fillId="33" borderId="0" xfId="43" applyFont="1" applyFill="1"/>
    <xf numFmtId="0" fontId="0" fillId="34" borderId="0" xfId="0" applyFill="1"/>
    <xf numFmtId="0" fontId="19" fillId="34" borderId="0" xfId="0" applyFont="1" applyFill="1"/>
    <xf numFmtId="3" fontId="0" fillId="33" borderId="0" xfId="0" applyNumberFormat="1" applyFill="1"/>
    <xf numFmtId="0" fontId="0" fillId="35" borderId="0" xfId="0" applyFill="1"/>
    <xf numFmtId="0" fontId="0" fillId="36" borderId="0" xfId="0" applyFill="1"/>
    <xf numFmtId="2" fontId="0" fillId="35" borderId="0" xfId="0" applyNumberFormat="1" applyFill="1"/>
    <xf numFmtId="44" fontId="0" fillId="36" borderId="0" xfId="0" applyNumberFormat="1" applyFill="1"/>
    <xf numFmtId="43" fontId="0" fillId="35" borderId="0" xfId="1" applyFont="1" applyFill="1"/>
    <xf numFmtId="44" fontId="0" fillId="36" borderId="0" xfId="43" applyFont="1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44" fontId="0" fillId="37" borderId="0" xfId="43" applyFont="1" applyFill="1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Currency" xfId="43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'CAR INVENTORY'!$H$1</c:f>
              <c:strCache>
                <c:ptCount val="1"/>
                <c:pt idx="0">
                  <c:v>Miles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'CAR INVENTORY'!$G$2:$G$66</c:f>
              <c:numCache>
                <c:formatCode>General</c:formatCode>
                <c:ptCount val="6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2</c:v>
                </c:pt>
                <c:pt idx="13">
                  <c:v>5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2</c:v>
                </c:pt>
                <c:pt idx="18">
                  <c:v>2</c:v>
                </c:pt>
                <c:pt idx="19">
                  <c:v>4</c:v>
                </c:pt>
                <c:pt idx="20">
                  <c:v>0</c:v>
                </c:pt>
                <c:pt idx="21">
                  <c:v>4</c:v>
                </c:pt>
                <c:pt idx="22">
                  <c:v>6</c:v>
                </c:pt>
                <c:pt idx="23">
                  <c:v>10</c:v>
                </c:pt>
                <c:pt idx="24">
                  <c:v>7</c:v>
                </c:pt>
                <c:pt idx="25">
                  <c:v>6</c:v>
                </c:pt>
                <c:pt idx="26">
                  <c:v>5</c:v>
                </c:pt>
                <c:pt idx="27">
                  <c:v>11</c:v>
                </c:pt>
                <c:pt idx="28">
                  <c:v>9</c:v>
                </c:pt>
                <c:pt idx="29">
                  <c:v>18</c:v>
                </c:pt>
                <c:pt idx="30">
                  <c:v>10</c:v>
                </c:pt>
                <c:pt idx="31">
                  <c:v>8</c:v>
                </c:pt>
                <c:pt idx="32">
                  <c:v>14</c:v>
                </c:pt>
                <c:pt idx="33">
                  <c:v>6</c:v>
                </c:pt>
                <c:pt idx="34">
                  <c:v>16</c:v>
                </c:pt>
                <c:pt idx="35">
                  <c:v>7</c:v>
                </c:pt>
                <c:pt idx="36">
                  <c:v>6</c:v>
                </c:pt>
                <c:pt idx="37">
                  <c:v>14</c:v>
                </c:pt>
                <c:pt idx="38">
                  <c:v>8</c:v>
                </c:pt>
                <c:pt idx="39">
                  <c:v>12</c:v>
                </c:pt>
                <c:pt idx="40">
                  <c:v>14</c:v>
                </c:pt>
                <c:pt idx="41">
                  <c:v>15</c:v>
                </c:pt>
                <c:pt idx="42">
                  <c:v>8</c:v>
                </c:pt>
                <c:pt idx="43">
                  <c:v>13</c:v>
                </c:pt>
                <c:pt idx="44">
                  <c:v>5</c:v>
                </c:pt>
                <c:pt idx="45">
                  <c:v>12</c:v>
                </c:pt>
                <c:pt idx="46">
                  <c:v>15</c:v>
                </c:pt>
                <c:pt idx="47">
                  <c:v>13</c:v>
                </c:pt>
                <c:pt idx="48">
                  <c:v>16</c:v>
                </c:pt>
                <c:pt idx="49">
                  <c:v>10</c:v>
                </c:pt>
                <c:pt idx="50">
                  <c:v>4</c:v>
                </c:pt>
                <c:pt idx="51">
                  <c:v>8</c:v>
                </c:pt>
              </c:numCache>
            </c:numRef>
          </c:xVal>
          <c:yVal>
            <c:numRef>
              <c:f>'CAR INVENTORY'!$H$2:$H$66</c:f>
              <c:numCache>
                <c:formatCode>_(* #,##0.00_);_(* \(#,##0.00\);_(* "-"??_);_(@_)</c:formatCode>
                <c:ptCount val="65"/>
                <c:pt idx="0">
                  <c:v>17556.3</c:v>
                </c:pt>
                <c:pt idx="1">
                  <c:v>14289.6</c:v>
                </c:pt>
                <c:pt idx="2">
                  <c:v>27637.1</c:v>
                </c:pt>
                <c:pt idx="3">
                  <c:v>27534.799999999999</c:v>
                </c:pt>
                <c:pt idx="4">
                  <c:v>22521.599999999999</c:v>
                </c:pt>
                <c:pt idx="5">
                  <c:v>22188.5</c:v>
                </c:pt>
                <c:pt idx="6">
                  <c:v>20223.900000000001</c:v>
                </c:pt>
                <c:pt idx="7">
                  <c:v>29601.9</c:v>
                </c:pt>
                <c:pt idx="8">
                  <c:v>24513.200000000001</c:v>
                </c:pt>
                <c:pt idx="9">
                  <c:v>13867.6</c:v>
                </c:pt>
                <c:pt idx="10">
                  <c:v>13682.9</c:v>
                </c:pt>
                <c:pt idx="11">
                  <c:v>22282</c:v>
                </c:pt>
                <c:pt idx="12">
                  <c:v>22128.2</c:v>
                </c:pt>
                <c:pt idx="13">
                  <c:v>48114.2</c:v>
                </c:pt>
                <c:pt idx="14">
                  <c:v>30555.3</c:v>
                </c:pt>
                <c:pt idx="15">
                  <c:v>29102.3</c:v>
                </c:pt>
                <c:pt idx="16">
                  <c:v>27394.2</c:v>
                </c:pt>
                <c:pt idx="17">
                  <c:v>19421.099999999999</c:v>
                </c:pt>
                <c:pt idx="18">
                  <c:v>19341.7</c:v>
                </c:pt>
                <c:pt idx="19">
                  <c:v>33477.199999999997</c:v>
                </c:pt>
                <c:pt idx="20">
                  <c:v>3708.1</c:v>
                </c:pt>
                <c:pt idx="21">
                  <c:v>31144.400000000001</c:v>
                </c:pt>
                <c:pt idx="22">
                  <c:v>44946.5</c:v>
                </c:pt>
                <c:pt idx="23">
                  <c:v>72527.199999999997</c:v>
                </c:pt>
                <c:pt idx="24">
                  <c:v>50854.1</c:v>
                </c:pt>
                <c:pt idx="25">
                  <c:v>42504.6</c:v>
                </c:pt>
                <c:pt idx="26">
                  <c:v>35137</c:v>
                </c:pt>
                <c:pt idx="27">
                  <c:v>73444.399999999994</c:v>
                </c:pt>
                <c:pt idx="28">
                  <c:v>60389.5</c:v>
                </c:pt>
                <c:pt idx="29">
                  <c:v>114660.6</c:v>
                </c:pt>
                <c:pt idx="30">
                  <c:v>64542</c:v>
                </c:pt>
                <c:pt idx="31">
                  <c:v>52229.5</c:v>
                </c:pt>
                <c:pt idx="32">
                  <c:v>85928</c:v>
                </c:pt>
                <c:pt idx="33">
                  <c:v>37558.800000000003</c:v>
                </c:pt>
                <c:pt idx="34">
                  <c:v>93382.6</c:v>
                </c:pt>
                <c:pt idx="35">
                  <c:v>42074.2</c:v>
                </c:pt>
                <c:pt idx="36">
                  <c:v>36438.5</c:v>
                </c:pt>
                <c:pt idx="37">
                  <c:v>80685.8</c:v>
                </c:pt>
                <c:pt idx="38">
                  <c:v>46311.4</c:v>
                </c:pt>
                <c:pt idx="39">
                  <c:v>67829.100000000006</c:v>
                </c:pt>
                <c:pt idx="40">
                  <c:v>77243.100000000006</c:v>
                </c:pt>
                <c:pt idx="41">
                  <c:v>82374</c:v>
                </c:pt>
                <c:pt idx="42">
                  <c:v>44974.8</c:v>
                </c:pt>
                <c:pt idx="43">
                  <c:v>69891.899999999994</c:v>
                </c:pt>
                <c:pt idx="44">
                  <c:v>28464.799999999999</c:v>
                </c:pt>
                <c:pt idx="45">
                  <c:v>64467.4</c:v>
                </c:pt>
                <c:pt idx="46">
                  <c:v>79420.600000000006</c:v>
                </c:pt>
                <c:pt idx="47">
                  <c:v>68658.899999999994</c:v>
                </c:pt>
                <c:pt idx="48">
                  <c:v>83162.7</c:v>
                </c:pt>
                <c:pt idx="49">
                  <c:v>52699.4</c:v>
                </c:pt>
                <c:pt idx="50">
                  <c:v>22573</c:v>
                </c:pt>
                <c:pt idx="51">
                  <c:v>40326.800000000003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60-42F7-B30C-083C89AB1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1612224"/>
        <c:axId val="545954424"/>
      </c:scatterChart>
      <c:valAx>
        <c:axId val="42161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of the car(years)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954424"/>
        <c:crosses val="autoZero"/>
        <c:crossBetween val="midCat"/>
      </c:valAx>
      <c:valAx>
        <c:axId val="545954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Miles</a:t>
                </a:r>
                <a:r>
                  <a:rPr lang="en-US" baseline="0"/>
                  <a:t> Driven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612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Inventory Analysis.xlsx]Miles!PivotTable2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Miles!$B$3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Miles!$A$4:$A$21</c:f>
              <c:strCache>
                <c:ptCount val="17"/>
                <c:pt idx="0">
                  <c:v>Bard</c:v>
                </c:pt>
                <c:pt idx="1">
                  <c:v>Chan</c:v>
                </c:pt>
                <c:pt idx="2">
                  <c:v>Ewenty</c:v>
                </c:pt>
                <c:pt idx="3">
                  <c:v>Gaul</c:v>
                </c:pt>
                <c:pt idx="4">
                  <c:v>Howard</c:v>
                </c:pt>
                <c:pt idx="5">
                  <c:v>Hulinski</c:v>
                </c:pt>
                <c:pt idx="6">
                  <c:v>Jones</c:v>
                </c:pt>
                <c:pt idx="7">
                  <c:v>Lyon</c:v>
                </c:pt>
                <c:pt idx="8">
                  <c:v>McCall</c:v>
                </c:pt>
                <c:pt idx="9">
                  <c:v>Praulty</c:v>
                </c:pt>
                <c:pt idx="10">
                  <c:v>Rodriguez</c:v>
                </c:pt>
                <c:pt idx="11">
                  <c:v>Santos</c:v>
                </c:pt>
                <c:pt idx="12">
                  <c:v>Smith</c:v>
                </c:pt>
                <c:pt idx="13">
                  <c:v>Swartz</c:v>
                </c:pt>
                <c:pt idx="14">
                  <c:v>Torrens</c:v>
                </c:pt>
                <c:pt idx="15">
                  <c:v>Vizzini</c:v>
                </c:pt>
                <c:pt idx="16">
                  <c:v>Yousef</c:v>
                </c:pt>
              </c:strCache>
            </c:strRef>
          </c:cat>
          <c:val>
            <c:numRef>
              <c:f>Miles!$B$4:$B$21</c:f>
              <c:numCache>
                <c:formatCode>_(* #,##0.00_);_(* \(#,##0.00\);_(* "-"??_);_(@_)</c:formatCode>
                <c:ptCount val="17"/>
                <c:pt idx="0">
                  <c:v>144647.69999999998</c:v>
                </c:pt>
                <c:pt idx="1">
                  <c:v>150656.40000000002</c:v>
                </c:pt>
                <c:pt idx="2">
                  <c:v>154427.9</c:v>
                </c:pt>
                <c:pt idx="3">
                  <c:v>179986</c:v>
                </c:pt>
                <c:pt idx="4">
                  <c:v>143640.70000000001</c:v>
                </c:pt>
                <c:pt idx="5">
                  <c:v>135078.20000000001</c:v>
                </c:pt>
                <c:pt idx="6">
                  <c:v>184693.8</c:v>
                </c:pt>
                <c:pt idx="7">
                  <c:v>127731.3</c:v>
                </c:pt>
                <c:pt idx="8">
                  <c:v>70964.899999999994</c:v>
                </c:pt>
                <c:pt idx="9">
                  <c:v>65315</c:v>
                </c:pt>
                <c:pt idx="10">
                  <c:v>138561.5</c:v>
                </c:pt>
                <c:pt idx="11">
                  <c:v>141229.4</c:v>
                </c:pt>
                <c:pt idx="12">
                  <c:v>305432.40000000002</c:v>
                </c:pt>
                <c:pt idx="13">
                  <c:v>177713.9</c:v>
                </c:pt>
                <c:pt idx="14">
                  <c:v>65964.899999999994</c:v>
                </c:pt>
                <c:pt idx="15">
                  <c:v>130601.59999999999</c:v>
                </c:pt>
                <c:pt idx="16">
                  <c:v>19341.7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76-4F7C-B7EC-F811EF51D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421606824"/>
        <c:axId val="421612584"/>
      </c:barChart>
      <c:catAx>
        <c:axId val="421606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612584"/>
        <c:crosses val="autoZero"/>
        <c:auto val="1"/>
        <c:lblAlgn val="ctr"/>
        <c:lblOffset val="100"/>
        <c:noMultiLvlLbl val="0"/>
      </c:catAx>
      <c:valAx>
        <c:axId val="421612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606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 Inventory Analysis.xlsx]Miles!PivotTable2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Driver</a:t>
            </a:r>
            <a:r>
              <a:rPr lang="en-US" baseline="0"/>
              <a:t>'s Miles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Miles!$B$3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Miles!$A$4:$A$21</c:f>
              <c:strCache>
                <c:ptCount val="17"/>
                <c:pt idx="0">
                  <c:v>Bard</c:v>
                </c:pt>
                <c:pt idx="1">
                  <c:v>Chan</c:v>
                </c:pt>
                <c:pt idx="2">
                  <c:v>Ewenty</c:v>
                </c:pt>
                <c:pt idx="3">
                  <c:v>Gaul</c:v>
                </c:pt>
                <c:pt idx="4">
                  <c:v>Howard</c:v>
                </c:pt>
                <c:pt idx="5">
                  <c:v>Hulinski</c:v>
                </c:pt>
                <c:pt idx="6">
                  <c:v>Jones</c:v>
                </c:pt>
                <c:pt idx="7">
                  <c:v>Lyon</c:v>
                </c:pt>
                <c:pt idx="8">
                  <c:v>McCall</c:v>
                </c:pt>
                <c:pt idx="9">
                  <c:v>Praulty</c:v>
                </c:pt>
                <c:pt idx="10">
                  <c:v>Rodriguez</c:v>
                </c:pt>
                <c:pt idx="11">
                  <c:v>Santos</c:v>
                </c:pt>
                <c:pt idx="12">
                  <c:v>Smith</c:v>
                </c:pt>
                <c:pt idx="13">
                  <c:v>Swartz</c:v>
                </c:pt>
                <c:pt idx="14">
                  <c:v>Torrens</c:v>
                </c:pt>
                <c:pt idx="15">
                  <c:v>Vizzini</c:v>
                </c:pt>
                <c:pt idx="16">
                  <c:v>Yousef</c:v>
                </c:pt>
              </c:strCache>
            </c:strRef>
          </c:cat>
          <c:val>
            <c:numRef>
              <c:f>Miles!$B$4:$B$21</c:f>
              <c:numCache>
                <c:formatCode>_(* #,##0.00_);_(* \(#,##0.00\);_(* "-"??_);_(@_)</c:formatCode>
                <c:ptCount val="17"/>
                <c:pt idx="0">
                  <c:v>144647.69999999998</c:v>
                </c:pt>
                <c:pt idx="1">
                  <c:v>150656.40000000002</c:v>
                </c:pt>
                <c:pt idx="2">
                  <c:v>154427.9</c:v>
                </c:pt>
                <c:pt idx="3">
                  <c:v>179986</c:v>
                </c:pt>
                <c:pt idx="4">
                  <c:v>143640.70000000001</c:v>
                </c:pt>
                <c:pt idx="5">
                  <c:v>135078.20000000001</c:v>
                </c:pt>
                <c:pt idx="6">
                  <c:v>184693.8</c:v>
                </c:pt>
                <c:pt idx="7">
                  <c:v>127731.3</c:v>
                </c:pt>
                <c:pt idx="8">
                  <c:v>70964.899999999994</c:v>
                </c:pt>
                <c:pt idx="9">
                  <c:v>65315</c:v>
                </c:pt>
                <c:pt idx="10">
                  <c:v>138561.5</c:v>
                </c:pt>
                <c:pt idx="11">
                  <c:v>141229.4</c:v>
                </c:pt>
                <c:pt idx="12">
                  <c:v>305432.40000000002</c:v>
                </c:pt>
                <c:pt idx="13">
                  <c:v>177713.9</c:v>
                </c:pt>
                <c:pt idx="14">
                  <c:v>65964.899999999994</c:v>
                </c:pt>
                <c:pt idx="15">
                  <c:v>130601.59999999999</c:v>
                </c:pt>
                <c:pt idx="16">
                  <c:v>19341.7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D-45E2-95C1-9202F00536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1611504"/>
        <c:axId val="340712464"/>
      </c:barChart>
      <c:catAx>
        <c:axId val="42161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0712464"/>
        <c:crosses val="autoZero"/>
        <c:auto val="1"/>
        <c:lblAlgn val="ctr"/>
        <c:lblOffset val="100"/>
        <c:noMultiLvlLbl val="0"/>
      </c:catAx>
      <c:valAx>
        <c:axId val="34071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1611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PAYMENTS</a:t>
            </a:r>
            <a:r>
              <a:rPr lang="en-US" baseline="0"/>
              <a:t> FOR $0K LOAN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'PAYMENT LOAN'!$G$1</c:f>
              <c:strCache>
                <c:ptCount val="1"/>
                <c:pt idx="0">
                  <c:v>MONTHLY PAYMENTS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'PAYMENT LOAN'!$C$2:$C$5</c:f>
              <c:numCache>
                <c:formatCode>0%</c:formatCode>
                <c:ptCount val="4"/>
                <c:pt idx="0">
                  <c:v>0.09</c:v>
                </c:pt>
                <c:pt idx="1">
                  <c:v>0.08</c:v>
                </c:pt>
                <c:pt idx="2">
                  <c:v>7.0000000000000007E-2</c:v>
                </c:pt>
                <c:pt idx="3">
                  <c:v>0.06</c:v>
                </c:pt>
              </c:numCache>
            </c:numRef>
          </c:cat>
          <c:val>
            <c:numRef>
              <c:f>'PAYMENT LOAN'!$G$2:$G$5</c:f>
              <c:numCache>
                <c:formatCode>"$"#,##0.00_);[Red]\("$"#,##0.00\)</c:formatCode>
                <c:ptCount val="4"/>
                <c:pt idx="0">
                  <c:v>1816.6666666666667</c:v>
                </c:pt>
                <c:pt idx="1">
                  <c:v>1800</c:v>
                </c:pt>
                <c:pt idx="2">
                  <c:v>1783.3333333333333</c:v>
                </c:pt>
                <c:pt idx="3">
                  <c:v>1766.6666666666667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AC-40B2-8A8A-5A7314F6A0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4482456"/>
        <c:axId val="544479936"/>
      </c:barChart>
      <c:catAx>
        <c:axId val="5444824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Interest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479936"/>
        <c:crosses val="autoZero"/>
        <c:auto val="1"/>
        <c:lblAlgn val="ctr"/>
        <c:lblOffset val="100"/>
        <c:noMultiLvlLbl val="0"/>
      </c:catAx>
      <c:valAx>
        <c:axId val="54447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Monthly Payment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4482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SUSAN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'SUSAN AND TIM'!$G$18:$I$18</c:f>
              <c:strCache>
                <c:ptCount val="3"/>
                <c:pt idx="0">
                  <c:v>Waltmart</c:v>
                </c:pt>
                <c:pt idx="1">
                  <c:v>Dollar trap</c:v>
                </c:pt>
                <c:pt idx="2">
                  <c:v>Office report</c:v>
                </c:pt>
              </c:strCache>
            </c:strRef>
          </c:cat>
          <c:val>
            <c:numRef>
              <c:f>'SUSAN AND TIM'!$G$19:$I$19</c:f>
              <c:numCache>
                <c:formatCode>_("$"* #,##0.00_);_("$"* \(#,##0.00\);_("$"* "-"??_);_(@_)</c:formatCode>
                <c:ptCount val="3"/>
                <c:pt idx="0">
                  <c:v>82.79</c:v>
                </c:pt>
                <c:pt idx="1">
                  <c:v>87.539999999999992</c:v>
                </c:pt>
                <c:pt idx="2">
                  <c:v>73.289999999999992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FE-460A-ACAE-5713D8914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6048656"/>
        <c:axId val="426051176"/>
      </c:barChart>
      <c:catAx>
        <c:axId val="42604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051176"/>
        <c:crosses val="autoZero"/>
        <c:auto val="1"/>
        <c:lblAlgn val="ctr"/>
        <c:lblOffset val="100"/>
        <c:noMultiLvlLbl val="0"/>
      </c:catAx>
      <c:valAx>
        <c:axId val="426051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04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'SUSAN AND TIM'!$L$18:$N$18</c:f>
              <c:strCache>
                <c:ptCount val="3"/>
                <c:pt idx="0">
                  <c:v> Waltmart </c:v>
                </c:pt>
                <c:pt idx="1">
                  <c:v> Dollar trap </c:v>
                </c:pt>
                <c:pt idx="2">
                  <c:v> Office report </c:v>
                </c:pt>
              </c:strCache>
            </c:strRef>
          </c:cat>
          <c:val>
            <c:numRef>
              <c:f>'SUSAN AND TIM'!$L$19:$N$19</c:f>
              <c:numCache>
                <c:formatCode>_("$"* #,##0.00_);_("$"* \(#,##0.00\);_("$"* "-"??_);_(@_)</c:formatCode>
                <c:ptCount val="3"/>
                <c:pt idx="0">
                  <c:v>218.59</c:v>
                </c:pt>
                <c:pt idx="1">
                  <c:v>247.44</c:v>
                </c:pt>
                <c:pt idx="2">
                  <c:v>210.89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B1-4ACF-9CA9-33ABF72FE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0605888"/>
        <c:axId val="420600128"/>
      </c:barChart>
      <c:catAx>
        <c:axId val="420605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600128"/>
        <c:crosses val="autoZero"/>
        <c:auto val="1"/>
        <c:lblAlgn val="ctr"/>
        <c:lblOffset val="100"/>
        <c:noMultiLvlLbl val="0"/>
      </c:catAx>
      <c:valAx>
        <c:axId val="42060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605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DOG AND CAT</a:t>
            </a:r>
            <a:r>
              <a:rPr lang="en-US" baseline="0"/>
              <a:t> COST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'ONE YEAR COST'!$B$17:$C$17</c:f>
              <c:strCache>
                <c:ptCount val="2"/>
                <c:pt idx="0">
                  <c:v>Dog</c:v>
                </c:pt>
                <c:pt idx="1">
                  <c:v>Cat</c:v>
                </c:pt>
              </c:strCache>
            </c:strRef>
          </c:cat>
          <c:val>
            <c:numRef>
              <c:f>'ONE YEAR COST'!$B$18:$C$18</c:f>
              <c:numCache>
                <c:formatCode>_([$$-409]* #,##0.00_);_([$$-409]* \(#,##0.00\);_([$$-409]* "-"??_);_(@_)</c:formatCode>
                <c:ptCount val="2"/>
                <c:pt idx="0">
                  <c:v>644</c:v>
                </c:pt>
                <c:pt idx="1">
                  <c:v>559.5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8F-481E-8551-D72386B185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0603728"/>
        <c:axId val="420604808"/>
      </c:barChart>
      <c:catAx>
        <c:axId val="420603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604808"/>
        <c:crosses val="autoZero"/>
        <c:auto val="1"/>
        <c:lblAlgn val="ctr"/>
        <c:lblOffset val="100"/>
        <c:noMultiLvlLbl val="0"/>
      </c:catAx>
      <c:valAx>
        <c:axId val="420604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One Year Cost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603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Susan's Travel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VACATION!$B$32:$D$32</c:f>
              <c:strCache>
                <c:ptCount val="3"/>
                <c:pt idx="0">
                  <c:v>Chicago Museum</c:v>
                </c:pt>
                <c:pt idx="1">
                  <c:v>Oriando Theme Park</c:v>
                </c:pt>
                <c:pt idx="2">
                  <c:v>Miami Cruise</c:v>
                </c:pt>
              </c:strCache>
            </c:strRef>
          </c:cat>
          <c:val>
            <c:numRef>
              <c:f>VACATION!$B$33:$D$33</c:f>
              <c:numCache>
                <c:formatCode>_("$"* #,##0.00_);_("$"* \(#,##0.00\);_("$"* "-"??_);_(@_)</c:formatCode>
                <c:ptCount val="3"/>
                <c:pt idx="0">
                  <c:v>1854</c:v>
                </c:pt>
                <c:pt idx="1">
                  <c:v>1853</c:v>
                </c:pt>
                <c:pt idx="2">
                  <c:v>1810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D2-4232-B20D-2727F8116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6036416"/>
        <c:axId val="426038216"/>
      </c:barChart>
      <c:catAx>
        <c:axId val="42603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038216"/>
        <c:crosses val="autoZero"/>
        <c:auto val="1"/>
        <c:lblAlgn val="ctr"/>
        <c:lblOffset val="100"/>
        <c:noMultiLvlLbl val="0"/>
      </c:catAx>
      <c:valAx>
        <c:axId val="426038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036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Tim's Travel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VACATION!$G$32:$I$32</c:f>
              <c:strCache>
                <c:ptCount val="3"/>
                <c:pt idx="0">
                  <c:v>Chicago Museum</c:v>
                </c:pt>
                <c:pt idx="1">
                  <c:v>Oriando Theme Park</c:v>
                </c:pt>
                <c:pt idx="2">
                  <c:v>Miami Cruise</c:v>
                </c:pt>
              </c:strCache>
            </c:strRef>
          </c:cat>
          <c:val>
            <c:numRef>
              <c:f>VACATION!$G$33:$I$33</c:f>
              <c:numCache>
                <c:formatCode>_("$"* #,##0.00_);_("$"* \(#,##0.00\);_("$"* "-"??_);_(@_)</c:formatCode>
                <c:ptCount val="3"/>
                <c:pt idx="0">
                  <c:v>2401</c:v>
                </c:pt>
                <c:pt idx="1">
                  <c:v>2517</c:v>
                </c:pt>
                <c:pt idx="2">
                  <c:v>2715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5E-4EB9-9D12-CABF06BDA5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3585072"/>
        <c:axId val="423585432"/>
      </c:barChart>
      <c:catAx>
        <c:axId val="423585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585432"/>
        <c:crosses val="autoZero"/>
        <c:auto val="1"/>
        <c:lblAlgn val="ctr"/>
        <c:lblOffset val="100"/>
        <c:noMultiLvlLbl val="0"/>
      </c:catAx>
      <c:valAx>
        <c:axId val="423585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58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SUSAN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PRINTING!$B$18:$D$18</c:f>
              <c:strCache>
                <c:ptCount val="3"/>
                <c:pt idx="0">
                  <c:v>Epsilon</c:v>
                </c:pt>
                <c:pt idx="1">
                  <c:v>HV</c:v>
                </c:pt>
                <c:pt idx="2">
                  <c:v>Zero</c:v>
                </c:pt>
              </c:strCache>
            </c:strRef>
          </c:cat>
          <c:val>
            <c:numRef>
              <c:f>PRINTING!$B$19:$D$19</c:f>
              <c:numCache>
                <c:formatCode>_("$"* #,##0.00_);_("$"* \(#,##0.00\);_("$"* "-"??_);_(@_)</c:formatCode>
                <c:ptCount val="3"/>
                <c:pt idx="0">
                  <c:v>1529</c:v>
                </c:pt>
                <c:pt idx="1">
                  <c:v>824</c:v>
                </c:pt>
                <c:pt idx="2">
                  <c:v>675.13636363636363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D6-42A2-A329-126AA6748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4472504"/>
        <c:axId val="534473224"/>
      </c:barChart>
      <c:catAx>
        <c:axId val="534472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473224"/>
        <c:crosses val="autoZero"/>
        <c:auto val="1"/>
        <c:lblAlgn val="ctr"/>
        <c:lblOffset val="100"/>
        <c:noMultiLvlLbl val="0"/>
      </c:catAx>
      <c:valAx>
        <c:axId val="534473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472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 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PRINTING!$G$18:$I$18</c:f>
              <c:strCache>
                <c:ptCount val="3"/>
                <c:pt idx="0">
                  <c:v>Epsilon</c:v>
                </c:pt>
                <c:pt idx="1">
                  <c:v>HV</c:v>
                </c:pt>
                <c:pt idx="2">
                  <c:v>Zero</c:v>
                </c:pt>
              </c:strCache>
            </c:strRef>
          </c:cat>
          <c:val>
            <c:numRef>
              <c:f>PRINTING!$G$19:$I$19</c:f>
              <c:numCache>
                <c:formatCode>_("$"* #,##0.00_);_("$"* \(#,##0.00\);_("$"* "-"??_);_(@_)</c:formatCode>
                <c:ptCount val="3"/>
                <c:pt idx="0">
                  <c:v>50029</c:v>
                </c:pt>
                <c:pt idx="1">
                  <c:v>22649</c:v>
                </c:pt>
                <c:pt idx="2">
                  <c:v>8958.0909090909099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86-4B18-B6B6-BBC0C14A4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6875032"/>
        <c:axId val="526875392"/>
      </c:barChart>
      <c:catAx>
        <c:axId val="526875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875392"/>
        <c:crosses val="autoZero"/>
        <c:auto val="1"/>
        <c:lblAlgn val="ctr"/>
        <c:lblOffset val="100"/>
        <c:noMultiLvlLbl val="0"/>
      </c:catAx>
      <c:valAx>
        <c:axId val="526875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875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366531</xdr:colOff>
      <xdr:row>4</xdr:row>
      <xdr:rowOff>108994</xdr:rowOff>
    </xdr:from>
    <xdr:to>
      <xdr:col>23</xdr:col>
      <xdr:colOff>77164</xdr:colOff>
      <xdr:row>19</xdr:row>
      <xdr:rowOff>103207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9E7C80-3450-85BD-3D89-9E4CA278F4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6</xdr:row>
      <xdr:rowOff>3810</xdr:rowOff>
    </xdr:from>
    <xdr:to>
      <xdr:col>11</xdr:col>
      <xdr:colOff>457200</xdr:colOff>
      <xdr:row>21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2A689-FB87-7F4F-C39E-00D64C20ED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152400</xdr:colOff>
      <xdr:row>6</xdr:row>
      <xdr:rowOff>3810</xdr:rowOff>
    </xdr:from>
    <xdr:to>
      <xdr:col>11</xdr:col>
      <xdr:colOff>457200</xdr:colOff>
      <xdr:row>21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FDD8CF-6C2E-86B6-AEF9-AF602277D8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312420</xdr:colOff>
      <xdr:row>7</xdr:row>
      <xdr:rowOff>102870</xdr:rowOff>
    </xdr:from>
    <xdr:to>
      <xdr:col>10</xdr:col>
      <xdr:colOff>480060</xdr:colOff>
      <xdr:row>22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295460-1BC0-0CE4-250A-BE757B029E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21</xdr:row>
      <xdr:rowOff>41910</xdr:rowOff>
    </xdr:from>
    <xdr:to>
      <xdr:col>10</xdr:col>
      <xdr:colOff>594360</xdr:colOff>
      <xdr:row>36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684B88-19A2-149F-2AB6-44DF7CCCED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373380</xdr:colOff>
      <xdr:row>21</xdr:row>
      <xdr:rowOff>49530</xdr:rowOff>
    </xdr:from>
    <xdr:to>
      <xdr:col>18</xdr:col>
      <xdr:colOff>198120</xdr:colOff>
      <xdr:row>36</xdr:row>
      <xdr:rowOff>49530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C66668-C78E-E822-B916-5F0904366F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571500</xdr:colOff>
      <xdr:row>6</xdr:row>
      <xdr:rowOff>3810</xdr:rowOff>
    </xdr:from>
    <xdr:to>
      <xdr:col>12</xdr:col>
      <xdr:colOff>266700</xdr:colOff>
      <xdr:row>21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1977F7-1B6C-A736-5B2E-A2392EF324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57150</xdr:rowOff>
    </xdr:from>
    <xdr:to>
      <xdr:col>4</xdr:col>
      <xdr:colOff>464820</xdr:colOff>
      <xdr:row>49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A4F516-D3D2-3707-77FD-C661F4B633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160020</xdr:colOff>
      <xdr:row>34</xdr:row>
      <xdr:rowOff>19050</xdr:rowOff>
    </xdr:from>
    <xdr:to>
      <xdr:col>9</xdr:col>
      <xdr:colOff>403860</xdr:colOff>
      <xdr:row>49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D0CBA5-3CF6-F62D-95B0-DC5AC59C5C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21</xdr:row>
      <xdr:rowOff>3810</xdr:rowOff>
    </xdr:from>
    <xdr:to>
      <xdr:col>6</xdr:col>
      <xdr:colOff>83820</xdr:colOff>
      <xdr:row>36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4A264F-D15B-AF80-4C5E-30BD02C39F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457200</xdr:colOff>
      <xdr:row>20</xdr:row>
      <xdr:rowOff>156210</xdr:rowOff>
    </xdr:from>
    <xdr:to>
      <xdr:col>13</xdr:col>
      <xdr:colOff>281940</xdr:colOff>
      <xdr:row>35</xdr:row>
      <xdr:rowOff>156210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BBC132-59AB-B374-FCEF-CC080817A5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REAT WOMAN" refreshedDate="45916.771731134257" createdVersion="8" refreshedVersion="8" minRefreshableVersion="3" recordCount="52" xr:uid="{5408067D-42F7-400C-9D44-AFCB810C369B}">
  <cacheSource type="worksheet">
    <worksheetSource ref="A1:N53" sheet="CAR INVENTORY"/>
  </cacheSource>
  <cacheFields count="14">
    <cacheField name="Car ID" numFmtId="0">
      <sharedItems/>
    </cacheField>
    <cacheField name="Make" numFmtId="0">
      <sharedItems/>
    </cacheField>
    <cacheField name="Make (Full Name)" numFmtId="0">
      <sharedItems/>
    </cacheField>
    <cacheField name="Model" numFmtId="0">
      <sharedItems/>
    </cacheField>
    <cacheField name="Model (Full Name)" numFmtId="0">
      <sharedItems/>
    </cacheField>
    <cacheField name="Manufacture Year" numFmtId="0">
      <sharedItems/>
    </cacheField>
    <cacheField name="Age" numFmtId="0">
      <sharedItems containsSemiMixedTypes="0" containsString="0" containsNumber="1" containsInteger="1" minValue="0" maxValue="18"/>
    </cacheField>
    <cacheField name="Miles" numFmtId="43">
      <sharedItems containsSemiMixedTypes="0" containsString="0" containsNumber="1" minValue="3708.1" maxValue="114660.6"/>
    </cacheField>
    <cacheField name="Miles / Year" numFmtId="43">
      <sharedItems containsSemiMixedTypes="0" containsString="0" containsNumber="1" minValue="4744.3294117647065" maxValue="35112.6"/>
    </cacheField>
    <cacheField name="Color" numFmtId="0">
      <sharedItems/>
    </cacheField>
    <cacheField name="Driver" numFmtId="0">
      <sharedItems count="17">
        <s v="Smith"/>
        <s v="McCall"/>
        <s v="Lyon"/>
        <s v="Jones"/>
        <s v="Ewenty"/>
        <s v="Howard"/>
        <s v="Praulty"/>
        <s v="Yousef"/>
        <s v="Vizzini"/>
        <s v="Rodriguez"/>
        <s v="Santos"/>
        <s v="Bard"/>
        <s v="Torrens"/>
        <s v="Hulinski"/>
        <s v="Chan"/>
        <s v="Swartz"/>
        <s v="Gaul"/>
      </sharedItems>
    </cacheField>
    <cacheField name="Warantee Miles" numFmtId="0">
      <sharedItems containsSemiMixedTypes="0" containsString="0" containsNumber="1" containsInteger="1" minValue="50000" maxValue="100000"/>
    </cacheField>
    <cacheField name="Covered?" numFmtId="0">
      <sharedItems/>
    </cacheField>
    <cacheField name="New Car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s v="FD06MTG001"/>
    <s v="FD"/>
    <s v="Ford"/>
    <s v="MTG"/>
    <s v="Mustang"/>
    <s v="06"/>
    <n v="8"/>
    <n v="40326.800000000003"/>
    <n v="4744.3294117647065"/>
    <s v="Black"/>
    <x v="0"/>
    <n v="50000"/>
    <s v="Y"/>
    <s v="FD06MTGBLA001"/>
  </r>
  <r>
    <s v="FD06MTG002"/>
    <s v="FD"/>
    <s v="Ford"/>
    <s v="MTG"/>
    <s v="Mustang"/>
    <s v="06"/>
    <n v="8"/>
    <n v="44974.8"/>
    <n v="5291.1529411764714"/>
    <s v="White"/>
    <x v="1"/>
    <n v="50000"/>
    <s v="Y"/>
    <s v="FD06MTGWHI002"/>
  </r>
  <r>
    <s v="FD08MTG003"/>
    <s v="FD"/>
    <s v="Ford"/>
    <s v="MTG"/>
    <s v="Mustang"/>
    <s v="08"/>
    <n v="6"/>
    <n v="44946.5"/>
    <n v="6914.8461538461543"/>
    <s v="Green"/>
    <x v="2"/>
    <n v="50000"/>
    <s v="Y"/>
    <s v="FD08MTGGRE003"/>
  </r>
  <r>
    <s v="FD08MTG004"/>
    <s v="FD"/>
    <s v="Ford"/>
    <s v="MTG"/>
    <s v="Mustang"/>
    <s v="08"/>
    <n v="6"/>
    <n v="37558.800000000003"/>
    <n v="5778.2769230769236"/>
    <s v="Black"/>
    <x v="3"/>
    <n v="50000"/>
    <s v="Y"/>
    <s v="FD08MTGBLA004"/>
  </r>
  <r>
    <s v="FD08MTG005"/>
    <s v="FD"/>
    <s v="Ford"/>
    <s v="MTG"/>
    <s v="Mustang"/>
    <s v="08"/>
    <n v="6"/>
    <n v="36438.5"/>
    <n v="5605.9230769230771"/>
    <s v="White"/>
    <x v="0"/>
    <n v="50000"/>
    <s v="Y"/>
    <s v="FD08MTGWHI005"/>
  </r>
  <r>
    <s v="FD06FCS006"/>
    <s v="FD"/>
    <s v="Ford"/>
    <s v="FCS"/>
    <s v="Civic"/>
    <s v="06"/>
    <n v="8"/>
    <n v="46311.4"/>
    <n v="5448.4000000000005"/>
    <s v="Green"/>
    <x v="4"/>
    <n v="75000"/>
    <s v="Y"/>
    <s v="FD06FCSGRE006"/>
  </r>
  <r>
    <s v="FD06FCS007"/>
    <s v="FD"/>
    <s v="Ford"/>
    <s v="FCS"/>
    <s v="Civic"/>
    <s v="06"/>
    <n v="8"/>
    <n v="52229.5"/>
    <n v="6144.6470588235297"/>
    <s v="Green"/>
    <x v="2"/>
    <n v="75000"/>
    <s v="Y"/>
    <s v="FD06FCSGRE007"/>
  </r>
  <r>
    <s v="FD09FCS008"/>
    <s v="FD"/>
    <s v="Ford"/>
    <s v="FCS"/>
    <s v="Civic"/>
    <s v="09"/>
    <n v="5"/>
    <n v="35137"/>
    <n v="6388.545454545455"/>
    <s v="Black"/>
    <x v="5"/>
    <n v="75000"/>
    <s v="Y"/>
    <s v="FD09FCSBLA008"/>
  </r>
  <r>
    <s v="FD13FCS009"/>
    <s v="FD"/>
    <s v="Ford"/>
    <s v="FCS"/>
    <s v="Civic"/>
    <s v="13"/>
    <n v="1"/>
    <n v="27637.1"/>
    <n v="18424.733333333334"/>
    <s v="Black"/>
    <x v="0"/>
    <n v="75000"/>
    <s v="Y"/>
    <s v="FD13FCSBLA009"/>
  </r>
  <r>
    <s v="FD13FCS010"/>
    <s v="FD"/>
    <s v="Ford"/>
    <s v="FCS"/>
    <s v="Civic"/>
    <s v="13"/>
    <n v="1"/>
    <n v="27534.799999999999"/>
    <n v="18356.533333333333"/>
    <s v="White"/>
    <x v="6"/>
    <n v="75000"/>
    <s v="Y"/>
    <s v="FD13FCSWHI010"/>
  </r>
  <r>
    <s v="FD12FCS011"/>
    <s v="FD"/>
    <s v="Ford"/>
    <s v="FCS"/>
    <s v="Civic"/>
    <s v="12"/>
    <n v="2"/>
    <n v="19341.7"/>
    <n v="7736.68"/>
    <s v="White"/>
    <x v="7"/>
    <n v="75000"/>
    <s v="Y"/>
    <s v="FD12FCSWHI011"/>
  </r>
  <r>
    <s v="FD13FCS012"/>
    <s v="FD"/>
    <s v="Ford"/>
    <s v="FCS"/>
    <s v="Civic"/>
    <s v="13"/>
    <n v="1"/>
    <n v="22521.599999999999"/>
    <n v="15014.4"/>
    <s v="Black"/>
    <x v="8"/>
    <n v="75000"/>
    <s v="Y"/>
    <s v="FD13FCSBLA012"/>
  </r>
  <r>
    <s v="FD13FCS013"/>
    <s v="FD"/>
    <s v="Ford"/>
    <s v="FCS"/>
    <s v="Civic"/>
    <s v="13"/>
    <n v="1"/>
    <n v="13682.9"/>
    <n v="9121.9333333333325"/>
    <s v="Black"/>
    <x v="9"/>
    <n v="75000"/>
    <s v="Y"/>
    <s v="FD13FCSBLA013"/>
  </r>
  <r>
    <s v="GM09CMR014"/>
    <s v="GM"/>
    <s v="General Motors"/>
    <s v="CMR"/>
    <s v="Civic"/>
    <s v="09"/>
    <n v="5"/>
    <n v="28464.799999999999"/>
    <n v="5175.4181818181814"/>
    <s v="White"/>
    <x v="10"/>
    <n v="100000"/>
    <s v="Y"/>
    <s v="GM09CMRWHI014"/>
  </r>
  <r>
    <s v="GM12CMR015"/>
    <s v="GM"/>
    <s v="General Motors"/>
    <s v="CMR"/>
    <s v="Civic"/>
    <s v="12"/>
    <n v="2"/>
    <n v="19421.099999999999"/>
    <n v="7768.44"/>
    <s v="Black"/>
    <x v="11"/>
    <n v="100000"/>
    <s v="Y"/>
    <s v="GM12CMRBLA015"/>
  </r>
  <r>
    <s v="GM14CMR016"/>
    <s v="GM"/>
    <s v="General Motors"/>
    <s v="CMR"/>
    <s v="Civic"/>
    <s v="14"/>
    <n v="0"/>
    <n v="14289.6"/>
    <n v="28579.200000000001"/>
    <s v="White"/>
    <x v="12"/>
    <n v="100000"/>
    <s v="Y"/>
    <s v="GM14CMRWHI016"/>
  </r>
  <r>
    <s v="GM10SLV017"/>
    <s v="GM"/>
    <s v="General Motors"/>
    <s v="SLV"/>
    <s v="Silverado"/>
    <s v="10"/>
    <n v="4"/>
    <n v="31144.400000000001"/>
    <n v="6920.9777777777781"/>
    <s v="Black"/>
    <x v="13"/>
    <n v="100000"/>
    <s v="Y"/>
    <s v="GM10SLVBLA017"/>
  </r>
  <r>
    <s v="GM98SLV018"/>
    <s v="GM"/>
    <s v="General Motors"/>
    <s v="SLV"/>
    <s v="Silverado"/>
    <s v="98"/>
    <n v="16"/>
    <n v="83162.7"/>
    <n v="5040.1636363636362"/>
    <s v="Black"/>
    <x v="10"/>
    <n v="100000"/>
    <s v="Y"/>
    <s v="GM98SLVBLA018"/>
  </r>
  <r>
    <s v="GM00SLV019"/>
    <s v="GM"/>
    <s v="General Motors"/>
    <s v="SLV"/>
    <s v="Silverado"/>
    <s v="00"/>
    <n v="14"/>
    <n v="80685.8"/>
    <n v="5564.5379310344833"/>
    <s v="Blue"/>
    <x v="8"/>
    <n v="100000"/>
    <s v="Y"/>
    <s v="GM00SLVBLU019"/>
  </r>
  <r>
    <s v="TY96CAM020"/>
    <s v="TY"/>
    <s v="Toyota"/>
    <s v="CAM"/>
    <s v="Camrey"/>
    <s v="96"/>
    <n v="18"/>
    <n v="114660.6"/>
    <n v="6197.8702702702703"/>
    <s v="Green"/>
    <x v="14"/>
    <n v="100000"/>
    <s v="Not covered"/>
    <s v="TY96CAMGRE020"/>
  </r>
  <r>
    <s v="TY98CAM021"/>
    <s v="TY"/>
    <s v="Toyota"/>
    <s v="CAM"/>
    <s v="Camrey"/>
    <s v="98"/>
    <n v="16"/>
    <n v="93382.6"/>
    <n v="5659.5515151515156"/>
    <s v="Black"/>
    <x v="15"/>
    <n v="100000"/>
    <s v="Y"/>
    <s v="TY98CAMBLA021"/>
  </r>
  <r>
    <s v="TY00CAM022"/>
    <s v="TY"/>
    <s v="Toyota"/>
    <s v="CAM"/>
    <s v="Camrey"/>
    <s v="00"/>
    <n v="14"/>
    <n v="85928"/>
    <n v="5926.0689655172409"/>
    <s v="Green"/>
    <x v="4"/>
    <n v="100000"/>
    <s v="Y"/>
    <s v="TY00CAMGRE022"/>
  </r>
  <r>
    <s v="TY02CAM023"/>
    <s v="TY"/>
    <s v="Toyota"/>
    <s v="CAM"/>
    <s v="Camrey"/>
    <s v="02"/>
    <n v="12"/>
    <n v="67829.100000000006"/>
    <n v="5426.3280000000004"/>
    <s v="Black"/>
    <x v="0"/>
    <n v="100000"/>
    <s v="Y"/>
    <s v="TY02CAMBLA023"/>
  </r>
  <r>
    <s v="TY09CAM024"/>
    <s v="TY"/>
    <s v="Toyota"/>
    <s v="CAM"/>
    <s v="Camrey"/>
    <s v="09"/>
    <n v="5"/>
    <n v="48114.2"/>
    <n v="8748.0363636363636"/>
    <s v="White"/>
    <x v="5"/>
    <n v="100000"/>
    <s v="Y"/>
    <s v="TY09CAMWHI024"/>
  </r>
  <r>
    <s v="TY02COR025"/>
    <s v="TY"/>
    <s v="Toyota"/>
    <s v="COR"/>
    <s v="Civic"/>
    <s v="02"/>
    <n v="12"/>
    <n v="64467.4"/>
    <n v="5157.3919999999998"/>
    <s v="Red"/>
    <x v="16"/>
    <n v="100000"/>
    <s v="Y"/>
    <s v="TY02CORRED025"/>
  </r>
  <r>
    <s v="TY03COR026"/>
    <s v="TY"/>
    <s v="Toyota"/>
    <s v="COR"/>
    <s v="Civic"/>
    <s v="03"/>
    <n v="11"/>
    <n v="73444.399999999994"/>
    <n v="6386.4695652173905"/>
    <s v="Black"/>
    <x v="16"/>
    <n v="100000"/>
    <s v="Y"/>
    <s v="TY03CORBLA026"/>
  </r>
  <r>
    <s v="TY14COR027"/>
    <s v="TY"/>
    <s v="Toyota"/>
    <s v="COR"/>
    <s v="Civic"/>
    <s v="14"/>
    <n v="0"/>
    <n v="17556.3"/>
    <n v="35112.6"/>
    <s v="Blue"/>
    <x v="6"/>
    <n v="100000"/>
    <s v="Y"/>
    <s v="TY14CORBLU027"/>
  </r>
  <r>
    <s v="TY12COR028"/>
    <s v="TY"/>
    <s v="Toyota"/>
    <s v="COR"/>
    <s v="Civic"/>
    <s v="12"/>
    <n v="2"/>
    <n v="29601.9"/>
    <n v="11840.76"/>
    <s v="Black"/>
    <x v="10"/>
    <n v="100000"/>
    <s v="Y"/>
    <s v="TY12CORBLA028"/>
  </r>
  <r>
    <s v="TY12CAM029"/>
    <s v="TY"/>
    <s v="Toyota"/>
    <s v="CAM"/>
    <s v="Camrey"/>
    <s v="12"/>
    <n v="2"/>
    <n v="22128.2"/>
    <n v="8851.2800000000007"/>
    <s v="Blue"/>
    <x v="14"/>
    <n v="100000"/>
    <s v="Y"/>
    <s v="TY12CAMBLU029"/>
  </r>
  <r>
    <s v="HO99CIV030"/>
    <s v="HO"/>
    <s v="Honda"/>
    <s v="CIV"/>
    <s v="Civic"/>
    <s v="99"/>
    <n v="15"/>
    <n v="82374"/>
    <n v="5314.4516129032254"/>
    <s v="White"/>
    <x v="9"/>
    <n v="75000"/>
    <s v="Not covered"/>
    <s v="HO99CIVWHI030"/>
  </r>
  <r>
    <s v="HO01CIV031"/>
    <s v="HO"/>
    <s v="Honda"/>
    <s v="CIV"/>
    <s v="Civic"/>
    <s v="01"/>
    <n v="13"/>
    <n v="69891.899999999994"/>
    <n v="5177.177777777777"/>
    <s v="Blue"/>
    <x v="3"/>
    <n v="75000"/>
    <s v="Y"/>
    <s v="HO01CIVBLU031"/>
  </r>
  <r>
    <s v="HO10CIV032"/>
    <s v="HO"/>
    <s v="Honda"/>
    <s v="CIV"/>
    <s v="Civic"/>
    <s v="10"/>
    <n v="4"/>
    <n v="22573"/>
    <n v="5016.2222222222226"/>
    <s v="Blue"/>
    <x v="12"/>
    <n v="75000"/>
    <s v="Y"/>
    <s v="HO10CIVBLU032"/>
  </r>
  <r>
    <s v="HO10CIV033"/>
    <s v="HO"/>
    <s v="Honda"/>
    <s v="CIV"/>
    <s v="Civic"/>
    <s v="10"/>
    <n v="4"/>
    <n v="33477.199999999997"/>
    <n v="7439.3777777777768"/>
    <s v="Black"/>
    <x v="15"/>
    <n v="75000"/>
    <s v="Y"/>
    <s v="HO10CIVBLA033"/>
  </r>
  <r>
    <s v="HO11CIV034"/>
    <s v="HO"/>
    <s v="Honda"/>
    <s v="CIV"/>
    <s v="Civic"/>
    <s v="11"/>
    <n v="3"/>
    <n v="30555.3"/>
    <n v="8730.0857142857149"/>
    <s v="Black"/>
    <x v="2"/>
    <n v="75000"/>
    <s v="Y"/>
    <s v="HO11CIVBLA034"/>
  </r>
  <r>
    <s v="HO12CIV035"/>
    <s v="HO"/>
    <s v="Honda"/>
    <s v="CIV"/>
    <s v="Civic"/>
    <s v="12"/>
    <n v="2"/>
    <n v="24513.200000000001"/>
    <n v="9805.2800000000007"/>
    <s v="Black"/>
    <x v="13"/>
    <n v="75000"/>
    <s v="Y"/>
    <s v="HO12CIVBLA035"/>
  </r>
  <r>
    <s v="HO13CIV036"/>
    <s v="HO"/>
    <s v="Honda"/>
    <s v="CIV"/>
    <s v="Civic"/>
    <s v="13"/>
    <n v="1"/>
    <n v="13867.6"/>
    <n v="9245.0666666666675"/>
    <s v="Black"/>
    <x v="14"/>
    <n v="75000"/>
    <s v="Y"/>
    <s v="HO13CIVBLA036"/>
  </r>
  <r>
    <s v="HO05ODY037"/>
    <s v="HO"/>
    <s v="Honda"/>
    <s v="ODY"/>
    <s v="Odyssey"/>
    <s v="05"/>
    <n v="9"/>
    <n v="60389.5"/>
    <n v="6356.7894736842109"/>
    <s v="White"/>
    <x v="5"/>
    <n v="100000"/>
    <s v="Y"/>
    <s v="HO05ODYWHI037"/>
  </r>
  <r>
    <s v="HO07ODY038"/>
    <s v="HO"/>
    <s v="Honda"/>
    <s v="ODY"/>
    <s v="Odyssey"/>
    <s v="07"/>
    <n v="7"/>
    <n v="50854.1"/>
    <n v="6780.5466666666662"/>
    <s v="Black"/>
    <x v="15"/>
    <n v="100000"/>
    <s v="Y"/>
    <s v="HO07ODYBLA038"/>
  </r>
  <r>
    <s v="HO08ODY039"/>
    <s v="HO"/>
    <s v="Honda"/>
    <s v="ODY"/>
    <s v="Odyssey"/>
    <s v="08"/>
    <n v="6"/>
    <n v="42504.6"/>
    <n v="6539.1692307692301"/>
    <s v="White"/>
    <x v="9"/>
    <n v="100000"/>
    <s v="Y"/>
    <s v="HO08ODYWHI039"/>
  </r>
  <r>
    <s v="HO01ODY040"/>
    <s v="HO"/>
    <s v="Honda"/>
    <s v="ODY"/>
    <s v="Odyssey"/>
    <s v="01"/>
    <n v="13"/>
    <n v="68658.899999999994"/>
    <n v="5085.844444444444"/>
    <s v="Black"/>
    <x v="0"/>
    <n v="100000"/>
    <s v="Y"/>
    <s v="HO01ODYBLA040"/>
  </r>
  <r>
    <s v="HO14ODY041"/>
    <s v="HO"/>
    <s v="Honda"/>
    <s v="ODY"/>
    <s v="Odyssey"/>
    <s v="14"/>
    <n v="0"/>
    <n v="3708.1"/>
    <n v="7416.2"/>
    <s v="Black"/>
    <x v="1"/>
    <n v="100000"/>
    <s v="Y"/>
    <s v="HO14ODYBLA041"/>
  </r>
  <r>
    <s v="CR04PTC042"/>
    <s v="CR"/>
    <s v="Chrysler"/>
    <s v="PTC"/>
    <s v="PT Cruiser"/>
    <s v="04"/>
    <n v="10"/>
    <n v="64542"/>
    <n v="6146.8571428571431"/>
    <s v="Blue"/>
    <x v="0"/>
    <n v="75000"/>
    <s v="Y"/>
    <s v="CR04PTCBLU042"/>
  </r>
  <r>
    <s v="CR07PTC043"/>
    <s v="CR"/>
    <s v="Chrysler"/>
    <s v="PTC"/>
    <s v="PT Cruiser"/>
    <s v="07"/>
    <n v="7"/>
    <n v="42074.2"/>
    <n v="5609.8933333333325"/>
    <s v="Green"/>
    <x v="16"/>
    <n v="75000"/>
    <s v="Y"/>
    <s v="CR07PTCGRE043"/>
  </r>
  <r>
    <s v="CR11PTC044"/>
    <s v="CR"/>
    <s v="Chrysler"/>
    <s v="PTC"/>
    <s v="PT Cruiser"/>
    <s v="11"/>
    <n v="3"/>
    <n v="27394.2"/>
    <n v="7826.9142857142861"/>
    <s v="Black"/>
    <x v="8"/>
    <n v="75000"/>
    <s v="Y"/>
    <s v="CR11PTCBLA044"/>
  </r>
  <r>
    <s v="CR99CAR045"/>
    <s v="CR"/>
    <s v="Chrysler"/>
    <s v="CAR"/>
    <s v="Caravan"/>
    <s v="99"/>
    <n v="15"/>
    <n v="79420.600000000006"/>
    <n v="5123.9096774193549"/>
    <s v="Green"/>
    <x v="13"/>
    <n v="75000"/>
    <s v="Not covered"/>
    <s v="CR99CARGRE045"/>
  </r>
  <r>
    <s v="CR00CAR046"/>
    <s v="CR"/>
    <s v="Chrysler"/>
    <s v="CAR"/>
    <s v="Caravan"/>
    <s v="00"/>
    <n v="14"/>
    <n v="77243.100000000006"/>
    <n v="5327.1103448275862"/>
    <s v="Black"/>
    <x v="3"/>
    <n v="75000"/>
    <s v="Not covered"/>
    <s v="CR00CARBLA046"/>
  </r>
  <r>
    <s v="CR04CAR047"/>
    <s v="CR"/>
    <s v="Chrysler"/>
    <s v="CAR"/>
    <s v="Caravan"/>
    <s v="04"/>
    <n v="10"/>
    <n v="72527.199999999997"/>
    <n v="6907.3523809523804"/>
    <s v="White"/>
    <x v="11"/>
    <n v="75000"/>
    <s v="Y"/>
    <s v="CR04CARWHI047"/>
  </r>
  <r>
    <s v="CR04CAR048"/>
    <s v="CR"/>
    <s v="Chrysler"/>
    <s v="CAR"/>
    <s v="Caravan"/>
    <s v="04"/>
    <n v="10"/>
    <n v="52699.4"/>
    <n v="5018.9904761904763"/>
    <s v="Red"/>
    <x v="11"/>
    <n v="75000"/>
    <s v="Y"/>
    <s v="CR04CARRED048"/>
  </r>
  <r>
    <s v="HY11ELA049"/>
    <s v="HY"/>
    <s v="Hundai"/>
    <s v="ELA"/>
    <s v="Civic"/>
    <s v="11"/>
    <n v="3"/>
    <n v="29102.3"/>
    <n v="8314.9428571428562"/>
    <s v="Black"/>
    <x v="12"/>
    <n v="100000"/>
    <s v="Y"/>
    <s v="HY11ELABLA049"/>
  </r>
  <r>
    <s v="HY12ELA050"/>
    <s v="HY"/>
    <s v="Hundai"/>
    <s v="ELA"/>
    <s v="Civic"/>
    <s v="12"/>
    <n v="2"/>
    <n v="22282"/>
    <n v="8912.7999999999993"/>
    <s v="Blue"/>
    <x v="1"/>
    <n v="100000"/>
    <s v="Y"/>
    <s v="HY12ELABLU050"/>
  </r>
  <r>
    <s v="HY13ELA051"/>
    <s v="HY"/>
    <s v="Hundai"/>
    <s v="ELA"/>
    <s v="Civic"/>
    <s v="13"/>
    <n v="1"/>
    <n v="20223.900000000001"/>
    <n v="13482.6"/>
    <s v="Black"/>
    <x v="6"/>
    <n v="100000"/>
    <s v="Y"/>
    <s v="HY13ELABLA051"/>
  </r>
  <r>
    <s v="HY13ELA052"/>
    <s v="HY"/>
    <s v="Hundai"/>
    <s v="ELA"/>
    <s v="Civic"/>
    <s v="13"/>
    <n v="1"/>
    <n v="22188.5"/>
    <n v="14792.333333333334"/>
    <s v="Blue"/>
    <x v="4"/>
    <n v="100000"/>
    <s v="Y"/>
    <s v="HY13ELABLU0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DC987D-CC7A-4DF2-8438-A6848195F272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21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dataField="1" numFmtId="43" showAll="0"/>
    <pivotField numFmtId="43" showAll="0"/>
    <pivotField showAll="0"/>
    <pivotField axis="axisRow" showAll="0">
      <items count="18">
        <item x="11"/>
        <item x="14"/>
        <item x="4"/>
        <item x="16"/>
        <item x="5"/>
        <item x="13"/>
        <item x="3"/>
        <item x="2"/>
        <item x="1"/>
        <item x="6"/>
        <item x="9"/>
        <item x="10"/>
        <item x="0"/>
        <item x="15"/>
        <item x="12"/>
        <item x="8"/>
        <item x="7"/>
        <item t="default"/>
      </items>
    </pivotField>
    <pivotField showAll="0"/>
    <pivotField showAll="0"/>
    <pivotField showAll="0"/>
  </pivotFields>
  <rowFields count="1">
    <field x="1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Miles" fld="7" baseField="0" baseItem="0" numFmtId="43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3C55A-4BEC-4C47-B3F9-C23A3049997F}">
  <dimension ref="A1:N66"/>
  <sheetViews>
    <sheetView topLeftCell="C1" zoomScale="72" workbookViewId="0">
      <selection activeCell="L15" sqref="L15"/>
    </sheetView>
  </sheetViews>
  <sheetFormatPr defaultRowHeight="14.4" x14ac:dyDescent="0.3"/>
  <cols>
    <col min="1" max="1" width="15.33203125" customWidth="1"/>
    <col min="2" max="2" width="13.109375" customWidth="1"/>
    <col min="3" max="3" width="17.5546875" customWidth="1"/>
    <col min="4" max="4" width="17" customWidth="1"/>
    <col min="5" max="5" width="16.88671875" customWidth="1"/>
    <col min="6" max="6" width="17.88671875" customWidth="1"/>
    <col min="7" max="7" width="14.21875" customWidth="1"/>
    <col min="8" max="8" width="12.5546875" customWidth="1"/>
    <col min="9" max="9" width="13.88671875" customWidth="1"/>
    <col min="10" max="10" width="11.88671875" customWidth="1"/>
    <col min="11" max="11" width="10.77734375" customWidth="1"/>
    <col min="12" max="12" width="12.6640625" customWidth="1"/>
    <col min="13" max="13" width="20.33203125" customWidth="1"/>
    <col min="14" max="14" width="18.5546875" customWidth="1"/>
  </cols>
  <sheetData>
    <row r="1" spans="1:14" s="1" customFormat="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63</v>
      </c>
      <c r="B2" t="s">
        <v>52</v>
      </c>
      <c r="C2" t="str">
        <f t="shared" ref="C2:C33" si="0">VLOOKUP(B2,B$56:C$61,2)</f>
        <v>Toyota</v>
      </c>
      <c r="D2" t="str">
        <f t="shared" ref="D2:D33" si="1">MID(A2,5,3)</f>
        <v>COR</v>
      </c>
      <c r="E2" t="str">
        <f t="shared" ref="E2:E33" si="2">VLOOKUP(D2,D$56:E$66,2)</f>
        <v>Civic</v>
      </c>
      <c r="F2" t="str">
        <f t="shared" ref="F2:F33" si="3">MID(A2,3,2)</f>
        <v>14</v>
      </c>
      <c r="G2">
        <f t="shared" ref="G2:G33" si="4">IF(14-F2&lt;0,100-F2+14,14-F2)</f>
        <v>0</v>
      </c>
      <c r="H2" s="2">
        <v>17556.3</v>
      </c>
      <c r="I2" s="2">
        <f t="shared" ref="I2:I33" si="5">H2/(G2+0.5)</f>
        <v>35112.6</v>
      </c>
      <c r="J2" t="s">
        <v>50</v>
      </c>
      <c r="K2" t="s">
        <v>33</v>
      </c>
      <c r="L2">
        <v>100000</v>
      </c>
      <c r="M2" t="str">
        <f t="shared" ref="M2:M33" si="6">IF(H2&lt;L2,"Y","Not covered")</f>
        <v>Y</v>
      </c>
      <c r="N2" t="str">
        <f t="shared" ref="N2:N33" si="7">CONCATENATE(B2,F2,D2, UPPER(LEFT(J2,3)),RIGHT(A2,3))</f>
        <v>TY14CORBLU027</v>
      </c>
    </row>
    <row r="3" spans="1:14" x14ac:dyDescent="0.3">
      <c r="A3" t="s">
        <v>44</v>
      </c>
      <c r="B3" t="s">
        <v>40</v>
      </c>
      <c r="C3" t="str">
        <f t="shared" si="0"/>
        <v>General Motors</v>
      </c>
      <c r="D3" t="str">
        <f t="shared" si="1"/>
        <v>CMR</v>
      </c>
      <c r="E3" t="str">
        <f t="shared" si="2"/>
        <v>Civic</v>
      </c>
      <c r="F3" t="str">
        <f t="shared" si="3"/>
        <v>14</v>
      </c>
      <c r="G3">
        <f t="shared" si="4"/>
        <v>0</v>
      </c>
      <c r="H3" s="2">
        <v>14289.6</v>
      </c>
      <c r="I3" s="2">
        <f t="shared" si="5"/>
        <v>28579.200000000001</v>
      </c>
      <c r="J3" t="s">
        <v>19</v>
      </c>
      <c r="K3" t="s">
        <v>45</v>
      </c>
      <c r="L3">
        <v>100000</v>
      </c>
      <c r="M3" t="str">
        <f t="shared" si="6"/>
        <v>Y</v>
      </c>
      <c r="N3" t="str">
        <f t="shared" si="7"/>
        <v>GM14CMRWHI016</v>
      </c>
    </row>
    <row r="4" spans="1:14" x14ac:dyDescent="0.3">
      <c r="A4" t="s">
        <v>31</v>
      </c>
      <c r="B4" t="s">
        <v>15</v>
      </c>
      <c r="C4" t="str">
        <f t="shared" si="0"/>
        <v>Ford</v>
      </c>
      <c r="D4" t="str">
        <f t="shared" si="1"/>
        <v>FCS</v>
      </c>
      <c r="E4" t="str">
        <f t="shared" si="2"/>
        <v>Civic</v>
      </c>
      <c r="F4" t="str">
        <f t="shared" si="3"/>
        <v>13</v>
      </c>
      <c r="G4">
        <f t="shared" si="4"/>
        <v>1</v>
      </c>
      <c r="H4" s="2">
        <v>27637.1</v>
      </c>
      <c r="I4" s="2">
        <f t="shared" si="5"/>
        <v>18424.733333333334</v>
      </c>
      <c r="J4" t="s">
        <v>16</v>
      </c>
      <c r="K4" t="s">
        <v>17</v>
      </c>
      <c r="L4">
        <v>75000</v>
      </c>
      <c r="M4" t="str">
        <f t="shared" si="6"/>
        <v>Y</v>
      </c>
      <c r="N4" t="str">
        <f t="shared" si="7"/>
        <v>FD13FCSBLA009</v>
      </c>
    </row>
    <row r="5" spans="1:14" x14ac:dyDescent="0.3">
      <c r="A5" t="s">
        <v>32</v>
      </c>
      <c r="B5" t="s">
        <v>15</v>
      </c>
      <c r="C5" t="str">
        <f t="shared" si="0"/>
        <v>Ford</v>
      </c>
      <c r="D5" t="str">
        <f t="shared" si="1"/>
        <v>FCS</v>
      </c>
      <c r="E5" t="str">
        <f t="shared" si="2"/>
        <v>Civic</v>
      </c>
      <c r="F5" t="str">
        <f t="shared" si="3"/>
        <v>13</v>
      </c>
      <c r="G5">
        <f t="shared" si="4"/>
        <v>1</v>
      </c>
      <c r="H5" s="2">
        <v>27534.799999999999</v>
      </c>
      <c r="I5" s="2">
        <f t="shared" si="5"/>
        <v>18356.533333333333</v>
      </c>
      <c r="J5" t="s">
        <v>19</v>
      </c>
      <c r="K5" t="s">
        <v>33</v>
      </c>
      <c r="L5">
        <v>75000</v>
      </c>
      <c r="M5" t="str">
        <f t="shared" si="6"/>
        <v>Y</v>
      </c>
      <c r="N5" t="str">
        <f t="shared" si="7"/>
        <v>FD13FCSWHI010</v>
      </c>
    </row>
    <row r="6" spans="1:14" x14ac:dyDescent="0.3">
      <c r="A6" t="s">
        <v>36</v>
      </c>
      <c r="B6" t="s">
        <v>15</v>
      </c>
      <c r="C6" t="str">
        <f t="shared" si="0"/>
        <v>Ford</v>
      </c>
      <c r="D6" t="str">
        <f t="shared" si="1"/>
        <v>FCS</v>
      </c>
      <c r="E6" t="str">
        <f t="shared" si="2"/>
        <v>Civic</v>
      </c>
      <c r="F6" t="str">
        <f t="shared" si="3"/>
        <v>13</v>
      </c>
      <c r="G6">
        <f t="shared" si="4"/>
        <v>1</v>
      </c>
      <c r="H6" s="2">
        <v>22521.599999999999</v>
      </c>
      <c r="I6" s="2">
        <f t="shared" si="5"/>
        <v>15014.4</v>
      </c>
      <c r="J6" t="s">
        <v>16</v>
      </c>
      <c r="K6" t="s">
        <v>37</v>
      </c>
      <c r="L6">
        <v>75000</v>
      </c>
      <c r="M6" t="str">
        <f t="shared" si="6"/>
        <v>Y</v>
      </c>
      <c r="N6" t="str">
        <f t="shared" si="7"/>
        <v>FD13FCSBLA012</v>
      </c>
    </row>
    <row r="7" spans="1:14" x14ac:dyDescent="0.3">
      <c r="A7" t="s">
        <v>89</v>
      </c>
      <c r="B7" t="s">
        <v>86</v>
      </c>
      <c r="C7" t="str">
        <f t="shared" si="0"/>
        <v>Hundai</v>
      </c>
      <c r="D7" t="str">
        <f t="shared" si="1"/>
        <v>ELA</v>
      </c>
      <c r="E7" t="str">
        <f t="shared" si="2"/>
        <v>Civic</v>
      </c>
      <c r="F7" t="str">
        <f t="shared" si="3"/>
        <v>13</v>
      </c>
      <c r="G7">
        <f t="shared" si="4"/>
        <v>1</v>
      </c>
      <c r="H7" s="2">
        <v>22188.5</v>
      </c>
      <c r="I7" s="2">
        <f t="shared" si="5"/>
        <v>14792.333333333334</v>
      </c>
      <c r="J7" t="s">
        <v>50</v>
      </c>
      <c r="K7" t="s">
        <v>27</v>
      </c>
      <c r="L7">
        <v>100000</v>
      </c>
      <c r="M7" t="str">
        <f t="shared" si="6"/>
        <v>Y</v>
      </c>
      <c r="N7" t="str">
        <f t="shared" si="7"/>
        <v>HY13ELABLU052</v>
      </c>
    </row>
    <row r="8" spans="1:14" x14ac:dyDescent="0.3">
      <c r="A8" t="s">
        <v>88</v>
      </c>
      <c r="B8" t="s">
        <v>86</v>
      </c>
      <c r="C8" t="str">
        <f t="shared" si="0"/>
        <v>Hundai</v>
      </c>
      <c r="D8" t="str">
        <f t="shared" si="1"/>
        <v>ELA</v>
      </c>
      <c r="E8" t="str">
        <f t="shared" si="2"/>
        <v>Civic</v>
      </c>
      <c r="F8" t="str">
        <f t="shared" si="3"/>
        <v>13</v>
      </c>
      <c r="G8">
        <f t="shared" si="4"/>
        <v>1</v>
      </c>
      <c r="H8" s="2">
        <v>20223.900000000001</v>
      </c>
      <c r="I8" s="2">
        <f t="shared" si="5"/>
        <v>13482.6</v>
      </c>
      <c r="J8" t="s">
        <v>16</v>
      </c>
      <c r="K8" t="s">
        <v>33</v>
      </c>
      <c r="L8">
        <v>100000</v>
      </c>
      <c r="M8" t="str">
        <f t="shared" si="6"/>
        <v>Y</v>
      </c>
      <c r="N8" t="str">
        <f t="shared" si="7"/>
        <v>HY13ELABLA051</v>
      </c>
    </row>
    <row r="9" spans="1:14" x14ac:dyDescent="0.3">
      <c r="A9" t="s">
        <v>64</v>
      </c>
      <c r="B9" t="s">
        <v>52</v>
      </c>
      <c r="C9" t="str">
        <f t="shared" si="0"/>
        <v>Toyota</v>
      </c>
      <c r="D9" t="str">
        <f t="shared" si="1"/>
        <v>COR</v>
      </c>
      <c r="E9" t="str">
        <f t="shared" si="2"/>
        <v>Civic</v>
      </c>
      <c r="F9" t="str">
        <f t="shared" si="3"/>
        <v>12</v>
      </c>
      <c r="G9">
        <f t="shared" si="4"/>
        <v>2</v>
      </c>
      <c r="H9" s="2">
        <v>29601.9</v>
      </c>
      <c r="I9" s="2">
        <f t="shared" si="5"/>
        <v>11840.76</v>
      </c>
      <c r="J9" t="s">
        <v>16</v>
      </c>
      <c r="K9" t="s">
        <v>41</v>
      </c>
      <c r="L9">
        <v>100000</v>
      </c>
      <c r="M9" t="str">
        <f t="shared" si="6"/>
        <v>Y</v>
      </c>
      <c r="N9" t="str">
        <f t="shared" si="7"/>
        <v>TY12CORBLA028</v>
      </c>
    </row>
    <row r="10" spans="1:14" x14ac:dyDescent="0.3">
      <c r="A10" t="s">
        <v>72</v>
      </c>
      <c r="B10" t="s">
        <v>67</v>
      </c>
      <c r="C10" t="str">
        <f t="shared" si="0"/>
        <v>Honda</v>
      </c>
      <c r="D10" t="str">
        <f t="shared" si="1"/>
        <v>CIV</v>
      </c>
      <c r="E10" t="str">
        <f t="shared" si="2"/>
        <v>Civic</v>
      </c>
      <c r="F10" t="str">
        <f t="shared" si="3"/>
        <v>12</v>
      </c>
      <c r="G10">
        <f t="shared" si="4"/>
        <v>2</v>
      </c>
      <c r="H10" s="2">
        <v>24513.200000000001</v>
      </c>
      <c r="I10" s="2">
        <f t="shared" si="5"/>
        <v>9805.2800000000007</v>
      </c>
      <c r="J10" t="s">
        <v>16</v>
      </c>
      <c r="K10" t="s">
        <v>47</v>
      </c>
      <c r="L10">
        <v>75000</v>
      </c>
      <c r="M10" t="str">
        <f t="shared" si="6"/>
        <v>Y</v>
      </c>
      <c r="N10" t="str">
        <f t="shared" si="7"/>
        <v>HO12CIVBLA035</v>
      </c>
    </row>
    <row r="11" spans="1:14" x14ac:dyDescent="0.3">
      <c r="A11" t="s">
        <v>73</v>
      </c>
      <c r="B11" t="s">
        <v>67</v>
      </c>
      <c r="C11" t="str">
        <f t="shared" si="0"/>
        <v>Honda</v>
      </c>
      <c r="D11" t="str">
        <f t="shared" si="1"/>
        <v>CIV</v>
      </c>
      <c r="E11" t="str">
        <f t="shared" si="2"/>
        <v>Civic</v>
      </c>
      <c r="F11" t="str">
        <f t="shared" si="3"/>
        <v>13</v>
      </c>
      <c r="G11">
        <f t="shared" si="4"/>
        <v>1</v>
      </c>
      <c r="H11" s="2">
        <v>13867.6</v>
      </c>
      <c r="I11" s="2">
        <f t="shared" si="5"/>
        <v>9245.0666666666675</v>
      </c>
      <c r="J11" t="s">
        <v>16</v>
      </c>
      <c r="K11" t="s">
        <v>53</v>
      </c>
      <c r="L11">
        <v>75000</v>
      </c>
      <c r="M11" t="str">
        <f t="shared" si="6"/>
        <v>Y</v>
      </c>
      <c r="N11" t="str">
        <f t="shared" si="7"/>
        <v>HO13CIVBLA036</v>
      </c>
    </row>
    <row r="12" spans="1:14" x14ac:dyDescent="0.3">
      <c r="A12" t="s">
        <v>38</v>
      </c>
      <c r="B12" t="s">
        <v>15</v>
      </c>
      <c r="C12" t="str">
        <f t="shared" si="0"/>
        <v>Ford</v>
      </c>
      <c r="D12" t="str">
        <f t="shared" si="1"/>
        <v>FCS</v>
      </c>
      <c r="E12" t="str">
        <f t="shared" si="2"/>
        <v>Civic</v>
      </c>
      <c r="F12" t="str">
        <f t="shared" si="3"/>
        <v>13</v>
      </c>
      <c r="G12">
        <f t="shared" si="4"/>
        <v>1</v>
      </c>
      <c r="H12" s="2">
        <v>13682.9</v>
      </c>
      <c r="I12" s="2">
        <f t="shared" si="5"/>
        <v>9121.9333333333325</v>
      </c>
      <c r="J12" t="s">
        <v>16</v>
      </c>
      <c r="K12" t="s">
        <v>39</v>
      </c>
      <c r="L12">
        <v>75000</v>
      </c>
      <c r="M12" t="str">
        <f t="shared" si="6"/>
        <v>Y</v>
      </c>
      <c r="N12" t="str">
        <f t="shared" si="7"/>
        <v>FD13FCSBLA013</v>
      </c>
    </row>
    <row r="13" spans="1:14" x14ac:dyDescent="0.3">
      <c r="A13" t="s">
        <v>87</v>
      </c>
      <c r="B13" t="s">
        <v>86</v>
      </c>
      <c r="C13" t="str">
        <f t="shared" si="0"/>
        <v>Hundai</v>
      </c>
      <c r="D13" t="str">
        <f t="shared" si="1"/>
        <v>ELA</v>
      </c>
      <c r="E13" t="str">
        <f t="shared" si="2"/>
        <v>Civic</v>
      </c>
      <c r="F13" t="str">
        <f t="shared" si="3"/>
        <v>12</v>
      </c>
      <c r="G13">
        <f t="shared" si="4"/>
        <v>2</v>
      </c>
      <c r="H13" s="2">
        <v>22282</v>
      </c>
      <c r="I13" s="2">
        <f t="shared" si="5"/>
        <v>8912.7999999999993</v>
      </c>
      <c r="J13" t="s">
        <v>50</v>
      </c>
      <c r="K13" t="s">
        <v>20</v>
      </c>
      <c r="L13">
        <v>100000</v>
      </c>
      <c r="M13" t="str">
        <f t="shared" si="6"/>
        <v>Y</v>
      </c>
      <c r="N13" t="str">
        <f t="shared" si="7"/>
        <v>HY12ELABLU050</v>
      </c>
    </row>
    <row r="14" spans="1:14" x14ac:dyDescent="0.3">
      <c r="A14" t="s">
        <v>65</v>
      </c>
      <c r="B14" t="s">
        <v>52</v>
      </c>
      <c r="C14" t="str">
        <f t="shared" si="0"/>
        <v>Toyota</v>
      </c>
      <c r="D14" t="str">
        <f t="shared" si="1"/>
        <v>CAM</v>
      </c>
      <c r="E14" t="str">
        <f t="shared" si="2"/>
        <v>Camrey</v>
      </c>
      <c r="F14" t="str">
        <f t="shared" si="3"/>
        <v>12</v>
      </c>
      <c r="G14">
        <f t="shared" si="4"/>
        <v>2</v>
      </c>
      <c r="H14" s="2">
        <v>22128.2</v>
      </c>
      <c r="I14" s="2">
        <f t="shared" si="5"/>
        <v>8851.2800000000007</v>
      </c>
      <c r="J14" t="s">
        <v>50</v>
      </c>
      <c r="K14" t="s">
        <v>53</v>
      </c>
      <c r="L14">
        <v>100000</v>
      </c>
      <c r="M14" t="str">
        <f t="shared" si="6"/>
        <v>Y</v>
      </c>
      <c r="N14" t="str">
        <f t="shared" si="7"/>
        <v>TY12CAMBLU029</v>
      </c>
    </row>
    <row r="15" spans="1:14" x14ac:dyDescent="0.3">
      <c r="A15" t="s">
        <v>58</v>
      </c>
      <c r="B15" t="s">
        <v>52</v>
      </c>
      <c r="C15" t="str">
        <f t="shared" si="0"/>
        <v>Toyota</v>
      </c>
      <c r="D15" t="str">
        <f t="shared" si="1"/>
        <v>CAM</v>
      </c>
      <c r="E15" t="str">
        <f t="shared" si="2"/>
        <v>Camrey</v>
      </c>
      <c r="F15" t="str">
        <f t="shared" si="3"/>
        <v>09</v>
      </c>
      <c r="G15">
        <f t="shared" si="4"/>
        <v>5</v>
      </c>
      <c r="H15" s="2">
        <v>48114.2</v>
      </c>
      <c r="I15" s="2">
        <f t="shared" si="5"/>
        <v>8748.0363636363636</v>
      </c>
      <c r="J15" t="s">
        <v>19</v>
      </c>
      <c r="K15" t="s">
        <v>30</v>
      </c>
      <c r="L15">
        <v>100000</v>
      </c>
      <c r="M15" t="str">
        <f t="shared" si="6"/>
        <v>Y</v>
      </c>
      <c r="N15" t="str">
        <f t="shared" si="7"/>
        <v>TY09CAMWHI024</v>
      </c>
    </row>
    <row r="16" spans="1:14" x14ac:dyDescent="0.3">
      <c r="A16" t="s">
        <v>71</v>
      </c>
      <c r="B16" t="s">
        <v>67</v>
      </c>
      <c r="C16" t="str">
        <f t="shared" si="0"/>
        <v>Honda</v>
      </c>
      <c r="D16" t="str">
        <f t="shared" si="1"/>
        <v>CIV</v>
      </c>
      <c r="E16" t="str">
        <f t="shared" si="2"/>
        <v>Civic</v>
      </c>
      <c r="F16" t="str">
        <f t="shared" si="3"/>
        <v>11</v>
      </c>
      <c r="G16">
        <f t="shared" si="4"/>
        <v>3</v>
      </c>
      <c r="H16" s="2">
        <v>30555.3</v>
      </c>
      <c r="I16" s="2">
        <f t="shared" si="5"/>
        <v>8730.0857142857149</v>
      </c>
      <c r="J16" t="s">
        <v>16</v>
      </c>
      <c r="K16" t="s">
        <v>23</v>
      </c>
      <c r="L16">
        <v>75000</v>
      </c>
      <c r="M16" t="str">
        <f t="shared" si="6"/>
        <v>Y</v>
      </c>
      <c r="N16" t="str">
        <f t="shared" si="7"/>
        <v>HO11CIVBLA034</v>
      </c>
    </row>
    <row r="17" spans="1:14" x14ac:dyDescent="0.3">
      <c r="A17" t="s">
        <v>85</v>
      </c>
      <c r="B17" t="s">
        <v>86</v>
      </c>
      <c r="C17" t="str">
        <f t="shared" si="0"/>
        <v>Hundai</v>
      </c>
      <c r="D17" t="str">
        <f t="shared" si="1"/>
        <v>ELA</v>
      </c>
      <c r="E17" t="str">
        <f t="shared" si="2"/>
        <v>Civic</v>
      </c>
      <c r="F17" t="str">
        <f t="shared" si="3"/>
        <v>11</v>
      </c>
      <c r="G17">
        <f t="shared" si="4"/>
        <v>3</v>
      </c>
      <c r="H17" s="2">
        <v>29102.3</v>
      </c>
      <c r="I17" s="2">
        <f t="shared" si="5"/>
        <v>8314.9428571428562</v>
      </c>
      <c r="J17" t="s">
        <v>16</v>
      </c>
      <c r="K17" t="s">
        <v>45</v>
      </c>
      <c r="L17">
        <v>100000</v>
      </c>
      <c r="M17" t="str">
        <f t="shared" si="6"/>
        <v>Y</v>
      </c>
      <c r="N17" t="str">
        <f t="shared" si="7"/>
        <v>HY11ELABLA049</v>
      </c>
    </row>
    <row r="18" spans="1:14" x14ac:dyDescent="0.3">
      <c r="A18" t="s">
        <v>80</v>
      </c>
      <c r="B18" t="s">
        <v>78</v>
      </c>
      <c r="C18" t="str">
        <f t="shared" si="0"/>
        <v>Chrysler</v>
      </c>
      <c r="D18" t="str">
        <f t="shared" si="1"/>
        <v>PTC</v>
      </c>
      <c r="E18" t="str">
        <f t="shared" si="2"/>
        <v>PT Cruiser</v>
      </c>
      <c r="F18" t="str">
        <f t="shared" si="3"/>
        <v>11</v>
      </c>
      <c r="G18">
        <f t="shared" si="4"/>
        <v>3</v>
      </c>
      <c r="H18" s="2">
        <v>27394.2</v>
      </c>
      <c r="I18" s="2">
        <f t="shared" si="5"/>
        <v>7826.9142857142861</v>
      </c>
      <c r="J18" t="s">
        <v>16</v>
      </c>
      <c r="K18" t="s">
        <v>37</v>
      </c>
      <c r="L18">
        <v>75000</v>
      </c>
      <c r="M18" t="str">
        <f t="shared" si="6"/>
        <v>Y</v>
      </c>
      <c r="N18" t="str">
        <f t="shared" si="7"/>
        <v>CR11PTCBLA044</v>
      </c>
    </row>
    <row r="19" spans="1:14" x14ac:dyDescent="0.3">
      <c r="A19" t="s">
        <v>42</v>
      </c>
      <c r="B19" t="s">
        <v>40</v>
      </c>
      <c r="C19" t="str">
        <f t="shared" si="0"/>
        <v>General Motors</v>
      </c>
      <c r="D19" t="str">
        <f t="shared" si="1"/>
        <v>CMR</v>
      </c>
      <c r="E19" t="str">
        <f t="shared" si="2"/>
        <v>Civic</v>
      </c>
      <c r="F19" t="str">
        <f t="shared" si="3"/>
        <v>12</v>
      </c>
      <c r="G19">
        <f t="shared" si="4"/>
        <v>2</v>
      </c>
      <c r="H19" s="2">
        <v>19421.099999999999</v>
      </c>
      <c r="I19" s="2">
        <f t="shared" si="5"/>
        <v>7768.44</v>
      </c>
      <c r="J19" t="s">
        <v>16</v>
      </c>
      <c r="K19" t="s">
        <v>43</v>
      </c>
      <c r="L19">
        <v>100000</v>
      </c>
      <c r="M19" t="str">
        <f t="shared" si="6"/>
        <v>Y</v>
      </c>
      <c r="N19" t="str">
        <f t="shared" si="7"/>
        <v>GM12CMRBLA015</v>
      </c>
    </row>
    <row r="20" spans="1:14" x14ac:dyDescent="0.3">
      <c r="A20" t="s">
        <v>34</v>
      </c>
      <c r="B20" t="s">
        <v>15</v>
      </c>
      <c r="C20" t="str">
        <f t="shared" si="0"/>
        <v>Ford</v>
      </c>
      <c r="D20" t="str">
        <f t="shared" si="1"/>
        <v>FCS</v>
      </c>
      <c r="E20" t="str">
        <f t="shared" si="2"/>
        <v>Civic</v>
      </c>
      <c r="F20" t="str">
        <f t="shared" si="3"/>
        <v>12</v>
      </c>
      <c r="G20">
        <f t="shared" si="4"/>
        <v>2</v>
      </c>
      <c r="H20" s="2">
        <v>19341.7</v>
      </c>
      <c r="I20" s="2">
        <f t="shared" si="5"/>
        <v>7736.68</v>
      </c>
      <c r="J20" t="s">
        <v>19</v>
      </c>
      <c r="K20" t="s">
        <v>35</v>
      </c>
      <c r="L20">
        <v>75000</v>
      </c>
      <c r="M20" t="str">
        <f t="shared" si="6"/>
        <v>Y</v>
      </c>
      <c r="N20" t="str">
        <f t="shared" si="7"/>
        <v>FD12FCSWHI011</v>
      </c>
    </row>
    <row r="21" spans="1:14" x14ac:dyDescent="0.3">
      <c r="A21" t="s">
        <v>70</v>
      </c>
      <c r="B21" t="s">
        <v>67</v>
      </c>
      <c r="C21" t="str">
        <f t="shared" si="0"/>
        <v>Honda</v>
      </c>
      <c r="D21" t="str">
        <f t="shared" si="1"/>
        <v>CIV</v>
      </c>
      <c r="E21" t="str">
        <f t="shared" si="2"/>
        <v>Civic</v>
      </c>
      <c r="F21" t="str">
        <f t="shared" si="3"/>
        <v>10</v>
      </c>
      <c r="G21">
        <f t="shared" si="4"/>
        <v>4</v>
      </c>
      <c r="H21" s="2">
        <v>33477.199999999997</v>
      </c>
      <c r="I21" s="2">
        <f t="shared" si="5"/>
        <v>7439.3777777777768</v>
      </c>
      <c r="J21" t="s">
        <v>16</v>
      </c>
      <c r="K21" t="s">
        <v>55</v>
      </c>
      <c r="L21">
        <v>75000</v>
      </c>
      <c r="M21" t="str">
        <f t="shared" si="6"/>
        <v>Y</v>
      </c>
      <c r="N21" t="str">
        <f t="shared" si="7"/>
        <v>HO10CIVBLA033</v>
      </c>
    </row>
    <row r="22" spans="1:14" x14ac:dyDescent="0.3">
      <c r="A22" t="s">
        <v>76</v>
      </c>
      <c r="B22" t="s">
        <v>67</v>
      </c>
      <c r="C22" t="str">
        <f t="shared" si="0"/>
        <v>Honda</v>
      </c>
      <c r="D22" t="str">
        <f t="shared" si="1"/>
        <v>ODY</v>
      </c>
      <c r="E22" t="str">
        <f t="shared" si="2"/>
        <v>Odyssey</v>
      </c>
      <c r="F22" t="str">
        <f t="shared" si="3"/>
        <v>14</v>
      </c>
      <c r="G22">
        <f t="shared" si="4"/>
        <v>0</v>
      </c>
      <c r="H22" s="2">
        <v>3708.1</v>
      </c>
      <c r="I22" s="2">
        <f t="shared" si="5"/>
        <v>7416.2</v>
      </c>
      <c r="J22" t="s">
        <v>16</v>
      </c>
      <c r="K22" t="s">
        <v>20</v>
      </c>
      <c r="L22">
        <v>100000</v>
      </c>
      <c r="M22" t="str">
        <f t="shared" si="6"/>
        <v>Y</v>
      </c>
      <c r="N22" t="str">
        <f t="shared" si="7"/>
        <v>HO14ODYBLA041</v>
      </c>
    </row>
    <row r="23" spans="1:14" x14ac:dyDescent="0.3">
      <c r="A23" t="s">
        <v>46</v>
      </c>
      <c r="B23" t="s">
        <v>40</v>
      </c>
      <c r="C23" t="str">
        <f t="shared" si="0"/>
        <v>General Motors</v>
      </c>
      <c r="D23" t="str">
        <f t="shared" si="1"/>
        <v>SLV</v>
      </c>
      <c r="E23" t="str">
        <f t="shared" si="2"/>
        <v>Silverado</v>
      </c>
      <c r="F23" t="str">
        <f t="shared" si="3"/>
        <v>10</v>
      </c>
      <c r="G23">
        <f t="shared" si="4"/>
        <v>4</v>
      </c>
      <c r="H23" s="2">
        <v>31144.400000000001</v>
      </c>
      <c r="I23" s="2">
        <f t="shared" si="5"/>
        <v>6920.9777777777781</v>
      </c>
      <c r="J23" t="s">
        <v>16</v>
      </c>
      <c r="K23" t="s">
        <v>47</v>
      </c>
      <c r="L23">
        <v>100000</v>
      </c>
      <c r="M23" t="str">
        <f t="shared" si="6"/>
        <v>Y</v>
      </c>
      <c r="N23" t="str">
        <f t="shared" si="7"/>
        <v>GM10SLVBLA017</v>
      </c>
    </row>
    <row r="24" spans="1:14" x14ac:dyDescent="0.3">
      <c r="A24" t="s">
        <v>21</v>
      </c>
      <c r="B24" t="s">
        <v>15</v>
      </c>
      <c r="C24" t="str">
        <f t="shared" si="0"/>
        <v>Ford</v>
      </c>
      <c r="D24" t="str">
        <f t="shared" si="1"/>
        <v>MTG</v>
      </c>
      <c r="E24" t="str">
        <f t="shared" si="2"/>
        <v>Mustang</v>
      </c>
      <c r="F24" t="str">
        <f t="shared" si="3"/>
        <v>08</v>
      </c>
      <c r="G24">
        <f t="shared" si="4"/>
        <v>6</v>
      </c>
      <c r="H24" s="2">
        <v>44946.5</v>
      </c>
      <c r="I24" s="2">
        <f t="shared" si="5"/>
        <v>6914.8461538461543</v>
      </c>
      <c r="J24" t="s">
        <v>22</v>
      </c>
      <c r="K24" t="s">
        <v>23</v>
      </c>
      <c r="L24">
        <v>50000</v>
      </c>
      <c r="M24" t="str">
        <f t="shared" si="6"/>
        <v>Y</v>
      </c>
      <c r="N24" t="str">
        <f t="shared" si="7"/>
        <v>FD08MTGGRE003</v>
      </c>
    </row>
    <row r="25" spans="1:14" x14ac:dyDescent="0.3">
      <c r="A25" t="s">
        <v>83</v>
      </c>
      <c r="B25" t="s">
        <v>78</v>
      </c>
      <c r="C25" t="str">
        <f t="shared" si="0"/>
        <v>Chrysler</v>
      </c>
      <c r="D25" t="str">
        <f t="shared" si="1"/>
        <v>CAR</v>
      </c>
      <c r="E25" t="str">
        <f t="shared" si="2"/>
        <v>Caravan</v>
      </c>
      <c r="F25" t="str">
        <f t="shared" si="3"/>
        <v>04</v>
      </c>
      <c r="G25">
        <f t="shared" si="4"/>
        <v>10</v>
      </c>
      <c r="H25" s="2">
        <v>72527.199999999997</v>
      </c>
      <c r="I25" s="2">
        <f t="shared" si="5"/>
        <v>6907.3523809523804</v>
      </c>
      <c r="J25" t="s">
        <v>19</v>
      </c>
      <c r="K25" t="s">
        <v>43</v>
      </c>
      <c r="L25">
        <v>75000</v>
      </c>
      <c r="M25" t="str">
        <f t="shared" si="6"/>
        <v>Y</v>
      </c>
      <c r="N25" t="str">
        <f t="shared" si="7"/>
        <v>CR04CARWHI047</v>
      </c>
    </row>
    <row r="26" spans="1:14" x14ac:dyDescent="0.3">
      <c r="A26" t="s">
        <v>74</v>
      </c>
      <c r="B26" t="s">
        <v>67</v>
      </c>
      <c r="C26" t="str">
        <f t="shared" si="0"/>
        <v>Honda</v>
      </c>
      <c r="D26" t="str">
        <f t="shared" si="1"/>
        <v>ODY</v>
      </c>
      <c r="E26" t="str">
        <f t="shared" si="2"/>
        <v>Odyssey</v>
      </c>
      <c r="F26" t="str">
        <f t="shared" si="3"/>
        <v>07</v>
      </c>
      <c r="G26">
        <f t="shared" si="4"/>
        <v>7</v>
      </c>
      <c r="H26" s="2">
        <v>50854.1</v>
      </c>
      <c r="I26" s="2">
        <f t="shared" si="5"/>
        <v>6780.5466666666662</v>
      </c>
      <c r="J26" t="s">
        <v>16</v>
      </c>
      <c r="K26" t="s">
        <v>55</v>
      </c>
      <c r="L26">
        <v>100000</v>
      </c>
      <c r="M26" t="str">
        <f t="shared" si="6"/>
        <v>Y</v>
      </c>
      <c r="N26" t="str">
        <f t="shared" si="7"/>
        <v>HO07ODYBLA038</v>
      </c>
    </row>
    <row r="27" spans="1:14" x14ac:dyDescent="0.3">
      <c r="A27" t="s">
        <v>75</v>
      </c>
      <c r="B27" t="s">
        <v>67</v>
      </c>
      <c r="C27" t="str">
        <f t="shared" si="0"/>
        <v>Honda</v>
      </c>
      <c r="D27" t="str">
        <f t="shared" si="1"/>
        <v>ODY</v>
      </c>
      <c r="E27" t="str">
        <f t="shared" si="2"/>
        <v>Odyssey</v>
      </c>
      <c r="F27" t="str">
        <f t="shared" si="3"/>
        <v>08</v>
      </c>
      <c r="G27">
        <f t="shared" si="4"/>
        <v>6</v>
      </c>
      <c r="H27" s="2">
        <v>42504.6</v>
      </c>
      <c r="I27" s="2">
        <f t="shared" si="5"/>
        <v>6539.1692307692301</v>
      </c>
      <c r="J27" t="s">
        <v>19</v>
      </c>
      <c r="K27" t="s">
        <v>39</v>
      </c>
      <c r="L27">
        <v>100000</v>
      </c>
      <c r="M27" t="str">
        <f t="shared" si="6"/>
        <v>Y</v>
      </c>
      <c r="N27" t="str">
        <f t="shared" si="7"/>
        <v>HO08ODYWHI039</v>
      </c>
    </row>
    <row r="28" spans="1:14" x14ac:dyDescent="0.3">
      <c r="A28" t="s">
        <v>29</v>
      </c>
      <c r="B28" t="s">
        <v>15</v>
      </c>
      <c r="C28" t="str">
        <f t="shared" si="0"/>
        <v>Ford</v>
      </c>
      <c r="D28" t="str">
        <f t="shared" si="1"/>
        <v>FCS</v>
      </c>
      <c r="E28" t="str">
        <f t="shared" si="2"/>
        <v>Civic</v>
      </c>
      <c r="F28" t="str">
        <f t="shared" si="3"/>
        <v>09</v>
      </c>
      <c r="G28">
        <f t="shared" si="4"/>
        <v>5</v>
      </c>
      <c r="H28" s="2">
        <v>35137</v>
      </c>
      <c r="I28" s="2">
        <f t="shared" si="5"/>
        <v>6388.545454545455</v>
      </c>
      <c r="J28" t="s">
        <v>16</v>
      </c>
      <c r="K28" t="s">
        <v>30</v>
      </c>
      <c r="L28">
        <v>75000</v>
      </c>
      <c r="M28" t="str">
        <f t="shared" si="6"/>
        <v>Y</v>
      </c>
      <c r="N28" t="str">
        <f t="shared" si="7"/>
        <v>FD09FCSBLA008</v>
      </c>
    </row>
    <row r="29" spans="1:14" x14ac:dyDescent="0.3">
      <c r="A29" t="s">
        <v>62</v>
      </c>
      <c r="B29" t="s">
        <v>52</v>
      </c>
      <c r="C29" t="str">
        <f t="shared" si="0"/>
        <v>Toyota</v>
      </c>
      <c r="D29" t="str">
        <f t="shared" si="1"/>
        <v>COR</v>
      </c>
      <c r="E29" t="str">
        <f t="shared" si="2"/>
        <v>Civic</v>
      </c>
      <c r="F29" t="str">
        <f t="shared" si="3"/>
        <v>03</v>
      </c>
      <c r="G29">
        <f t="shared" si="4"/>
        <v>11</v>
      </c>
      <c r="H29" s="2">
        <v>73444.399999999994</v>
      </c>
      <c r="I29" s="2">
        <f t="shared" si="5"/>
        <v>6386.4695652173905</v>
      </c>
      <c r="J29" t="s">
        <v>16</v>
      </c>
      <c r="K29" t="s">
        <v>61</v>
      </c>
      <c r="L29">
        <v>100000</v>
      </c>
      <c r="M29" t="str">
        <f t="shared" si="6"/>
        <v>Y</v>
      </c>
      <c r="N29" t="str">
        <f t="shared" si="7"/>
        <v>TY03CORBLA026</v>
      </c>
    </row>
    <row r="30" spans="1:14" x14ac:dyDescent="0.3">
      <c r="A30" t="s">
        <v>120</v>
      </c>
      <c r="B30" t="s">
        <v>67</v>
      </c>
      <c r="C30" t="str">
        <f t="shared" si="0"/>
        <v>Honda</v>
      </c>
      <c r="D30" t="str">
        <f t="shared" si="1"/>
        <v>ODY</v>
      </c>
      <c r="E30" t="str">
        <f t="shared" si="2"/>
        <v>Odyssey</v>
      </c>
      <c r="F30" t="str">
        <f t="shared" si="3"/>
        <v>05</v>
      </c>
      <c r="G30">
        <f t="shared" si="4"/>
        <v>9</v>
      </c>
      <c r="H30" s="2">
        <v>60389.5</v>
      </c>
      <c r="I30" s="2">
        <f t="shared" si="5"/>
        <v>6356.7894736842109</v>
      </c>
      <c r="J30" t="s">
        <v>19</v>
      </c>
      <c r="K30" t="s">
        <v>30</v>
      </c>
      <c r="L30">
        <v>100000</v>
      </c>
      <c r="M30" t="str">
        <f t="shared" si="6"/>
        <v>Y</v>
      </c>
      <c r="N30" t="str">
        <f t="shared" si="7"/>
        <v>HO05ODYWHI037</v>
      </c>
    </row>
    <row r="31" spans="1:14" x14ac:dyDescent="0.3">
      <c r="A31" t="s">
        <v>51</v>
      </c>
      <c r="B31" t="s">
        <v>52</v>
      </c>
      <c r="C31" t="str">
        <f t="shared" si="0"/>
        <v>Toyota</v>
      </c>
      <c r="D31" t="str">
        <f t="shared" si="1"/>
        <v>CAM</v>
      </c>
      <c r="E31" t="str">
        <f t="shared" si="2"/>
        <v>Camrey</v>
      </c>
      <c r="F31" t="str">
        <f t="shared" si="3"/>
        <v>96</v>
      </c>
      <c r="G31">
        <f t="shared" si="4"/>
        <v>18</v>
      </c>
      <c r="H31" s="2">
        <v>114660.6</v>
      </c>
      <c r="I31" s="2">
        <f t="shared" si="5"/>
        <v>6197.8702702702703</v>
      </c>
      <c r="J31" t="s">
        <v>22</v>
      </c>
      <c r="K31" t="s">
        <v>53</v>
      </c>
      <c r="L31">
        <v>100000</v>
      </c>
      <c r="M31" t="str">
        <f t="shared" si="6"/>
        <v>Not covered</v>
      </c>
      <c r="N31" t="str">
        <f t="shared" si="7"/>
        <v>TY96CAMGRE020</v>
      </c>
    </row>
    <row r="32" spans="1:14" x14ac:dyDescent="0.3">
      <c r="A32" t="s">
        <v>77</v>
      </c>
      <c r="B32" t="s">
        <v>78</v>
      </c>
      <c r="C32" t="str">
        <f t="shared" si="0"/>
        <v>Chrysler</v>
      </c>
      <c r="D32" t="str">
        <f t="shared" si="1"/>
        <v>PTC</v>
      </c>
      <c r="E32" t="str">
        <f t="shared" si="2"/>
        <v>PT Cruiser</v>
      </c>
      <c r="F32" t="str">
        <f t="shared" si="3"/>
        <v>04</v>
      </c>
      <c r="G32">
        <f t="shared" si="4"/>
        <v>10</v>
      </c>
      <c r="H32" s="2">
        <v>64542</v>
      </c>
      <c r="I32" s="2">
        <f t="shared" si="5"/>
        <v>6146.8571428571431</v>
      </c>
      <c r="J32" t="s">
        <v>50</v>
      </c>
      <c r="K32" t="s">
        <v>17</v>
      </c>
      <c r="L32">
        <v>75000</v>
      </c>
      <c r="M32" t="str">
        <f t="shared" si="6"/>
        <v>Y</v>
      </c>
      <c r="N32" t="str">
        <f t="shared" si="7"/>
        <v>CR04PTCBLU042</v>
      </c>
    </row>
    <row r="33" spans="1:14" x14ac:dyDescent="0.3">
      <c r="A33" t="s">
        <v>28</v>
      </c>
      <c r="B33" t="s">
        <v>15</v>
      </c>
      <c r="C33" t="str">
        <f t="shared" si="0"/>
        <v>Ford</v>
      </c>
      <c r="D33" t="str">
        <f t="shared" si="1"/>
        <v>FCS</v>
      </c>
      <c r="E33" t="str">
        <f t="shared" si="2"/>
        <v>Civic</v>
      </c>
      <c r="F33" t="str">
        <f t="shared" si="3"/>
        <v>06</v>
      </c>
      <c r="G33">
        <f t="shared" si="4"/>
        <v>8</v>
      </c>
      <c r="H33" s="2">
        <v>52229.5</v>
      </c>
      <c r="I33" s="2">
        <f t="shared" si="5"/>
        <v>6144.6470588235297</v>
      </c>
      <c r="J33" t="s">
        <v>22</v>
      </c>
      <c r="K33" t="s">
        <v>23</v>
      </c>
      <c r="L33">
        <v>75000</v>
      </c>
      <c r="M33" t="str">
        <f t="shared" si="6"/>
        <v>Y</v>
      </c>
      <c r="N33" t="str">
        <f t="shared" si="7"/>
        <v>FD06FCSGRE007</v>
      </c>
    </row>
    <row r="34" spans="1:14" x14ac:dyDescent="0.3">
      <c r="A34" t="s">
        <v>56</v>
      </c>
      <c r="B34" t="s">
        <v>52</v>
      </c>
      <c r="C34" t="str">
        <f t="shared" ref="C34:C53" si="8">VLOOKUP(B34,B$56:C$61,2)</f>
        <v>Toyota</v>
      </c>
      <c r="D34" t="str">
        <f t="shared" ref="D34:D53" si="9">MID(A34,5,3)</f>
        <v>CAM</v>
      </c>
      <c r="E34" t="str">
        <f t="shared" ref="E34:E53" si="10">VLOOKUP(D34,D$56:E$66,2)</f>
        <v>Camrey</v>
      </c>
      <c r="F34" t="str">
        <f t="shared" ref="F34:F53" si="11">MID(A34,3,2)</f>
        <v>00</v>
      </c>
      <c r="G34">
        <f t="shared" ref="G34:G53" si="12">IF(14-F34&lt;0,100-F34+14,14-F34)</f>
        <v>14</v>
      </c>
      <c r="H34" s="2">
        <v>85928</v>
      </c>
      <c r="I34" s="2">
        <f t="shared" ref="I34:I53" si="13">H34/(G34+0.5)</f>
        <v>5926.0689655172409</v>
      </c>
      <c r="J34" t="s">
        <v>22</v>
      </c>
      <c r="K34" t="s">
        <v>27</v>
      </c>
      <c r="L34">
        <v>100000</v>
      </c>
      <c r="M34" t="str">
        <f t="shared" ref="M34:M53" si="14">IF(H34&lt;L34,"Y","Not covered")</f>
        <v>Y</v>
      </c>
      <c r="N34" t="str">
        <f t="shared" ref="N34:N53" si="15">CONCATENATE(B34,F34,D34, UPPER(LEFT(J34,3)),RIGHT(A34,3))</f>
        <v>TY00CAMGRE022</v>
      </c>
    </row>
    <row r="35" spans="1:14" x14ac:dyDescent="0.3">
      <c r="A35" t="s">
        <v>24</v>
      </c>
      <c r="B35" t="s">
        <v>15</v>
      </c>
      <c r="C35" t="str">
        <f t="shared" si="8"/>
        <v>Ford</v>
      </c>
      <c r="D35" t="str">
        <f t="shared" si="9"/>
        <v>MTG</v>
      </c>
      <c r="E35" t="str">
        <f t="shared" si="10"/>
        <v>Mustang</v>
      </c>
      <c r="F35" t="str">
        <f t="shared" si="11"/>
        <v>08</v>
      </c>
      <c r="G35">
        <f t="shared" si="12"/>
        <v>6</v>
      </c>
      <c r="H35" s="2">
        <v>37558.800000000003</v>
      </c>
      <c r="I35" s="2">
        <f t="shared" si="13"/>
        <v>5778.2769230769236</v>
      </c>
      <c r="J35" t="s">
        <v>16</v>
      </c>
      <c r="K35" t="s">
        <v>25</v>
      </c>
      <c r="L35">
        <v>50000</v>
      </c>
      <c r="M35" t="str">
        <f t="shared" si="14"/>
        <v>Y</v>
      </c>
      <c r="N35" t="str">
        <f t="shared" si="15"/>
        <v>FD08MTGBLA004</v>
      </c>
    </row>
    <row r="36" spans="1:14" x14ac:dyDescent="0.3">
      <c r="A36" t="s">
        <v>54</v>
      </c>
      <c r="B36" t="s">
        <v>52</v>
      </c>
      <c r="C36" t="str">
        <f t="shared" si="8"/>
        <v>Toyota</v>
      </c>
      <c r="D36" t="str">
        <f t="shared" si="9"/>
        <v>CAM</v>
      </c>
      <c r="E36" t="str">
        <f t="shared" si="10"/>
        <v>Camrey</v>
      </c>
      <c r="F36" t="str">
        <f t="shared" si="11"/>
        <v>98</v>
      </c>
      <c r="G36">
        <f t="shared" si="12"/>
        <v>16</v>
      </c>
      <c r="H36" s="2">
        <v>93382.6</v>
      </c>
      <c r="I36" s="2">
        <f t="shared" si="13"/>
        <v>5659.5515151515156</v>
      </c>
      <c r="J36" t="s">
        <v>16</v>
      </c>
      <c r="K36" t="s">
        <v>55</v>
      </c>
      <c r="L36">
        <v>100000</v>
      </c>
      <c r="M36" t="str">
        <f t="shared" si="14"/>
        <v>Y</v>
      </c>
      <c r="N36" t="str">
        <f t="shared" si="15"/>
        <v>TY98CAMBLA021</v>
      </c>
    </row>
    <row r="37" spans="1:14" x14ac:dyDescent="0.3">
      <c r="A37" t="s">
        <v>79</v>
      </c>
      <c r="B37" t="s">
        <v>78</v>
      </c>
      <c r="C37" t="str">
        <f t="shared" si="8"/>
        <v>Chrysler</v>
      </c>
      <c r="D37" t="str">
        <f t="shared" si="9"/>
        <v>PTC</v>
      </c>
      <c r="E37" t="str">
        <f t="shared" si="10"/>
        <v>PT Cruiser</v>
      </c>
      <c r="F37" t="str">
        <f t="shared" si="11"/>
        <v>07</v>
      </c>
      <c r="G37">
        <f t="shared" si="12"/>
        <v>7</v>
      </c>
      <c r="H37" s="2">
        <v>42074.2</v>
      </c>
      <c r="I37" s="2">
        <f t="shared" si="13"/>
        <v>5609.8933333333325</v>
      </c>
      <c r="J37" t="s">
        <v>22</v>
      </c>
      <c r="K37" t="s">
        <v>61</v>
      </c>
      <c r="L37">
        <v>75000</v>
      </c>
      <c r="M37" t="str">
        <f t="shared" si="14"/>
        <v>Y</v>
      </c>
      <c r="N37" t="str">
        <f t="shared" si="15"/>
        <v>CR07PTCGRE043</v>
      </c>
    </row>
    <row r="38" spans="1:14" x14ac:dyDescent="0.3">
      <c r="A38" t="s">
        <v>26</v>
      </c>
      <c r="B38" t="s">
        <v>15</v>
      </c>
      <c r="C38" t="str">
        <f t="shared" si="8"/>
        <v>Ford</v>
      </c>
      <c r="D38" t="str">
        <f t="shared" si="9"/>
        <v>MTG</v>
      </c>
      <c r="E38" t="str">
        <f t="shared" si="10"/>
        <v>Mustang</v>
      </c>
      <c r="F38" t="str">
        <f t="shared" si="11"/>
        <v>08</v>
      </c>
      <c r="G38">
        <f t="shared" si="12"/>
        <v>6</v>
      </c>
      <c r="H38" s="2">
        <v>36438.5</v>
      </c>
      <c r="I38" s="2">
        <f t="shared" si="13"/>
        <v>5605.9230769230771</v>
      </c>
      <c r="J38" t="s">
        <v>19</v>
      </c>
      <c r="K38" t="s">
        <v>17</v>
      </c>
      <c r="L38">
        <v>50000</v>
      </c>
      <c r="M38" t="str">
        <f t="shared" si="14"/>
        <v>Y</v>
      </c>
      <c r="N38" t="str">
        <f t="shared" si="15"/>
        <v>FD08MTGWHI005</v>
      </c>
    </row>
    <row r="39" spans="1:14" x14ac:dyDescent="0.3">
      <c r="A39" t="s">
        <v>49</v>
      </c>
      <c r="B39" t="s">
        <v>40</v>
      </c>
      <c r="C39" t="str">
        <f t="shared" si="8"/>
        <v>General Motors</v>
      </c>
      <c r="D39" t="str">
        <f t="shared" si="9"/>
        <v>SLV</v>
      </c>
      <c r="E39" t="str">
        <f t="shared" si="10"/>
        <v>Silverado</v>
      </c>
      <c r="F39" t="str">
        <f t="shared" si="11"/>
        <v>00</v>
      </c>
      <c r="G39">
        <f t="shared" si="12"/>
        <v>14</v>
      </c>
      <c r="H39" s="2">
        <v>80685.8</v>
      </c>
      <c r="I39" s="2">
        <f t="shared" si="13"/>
        <v>5564.5379310344833</v>
      </c>
      <c r="J39" t="s">
        <v>50</v>
      </c>
      <c r="K39" t="s">
        <v>37</v>
      </c>
      <c r="L39">
        <v>100000</v>
      </c>
      <c r="M39" t="str">
        <f t="shared" si="14"/>
        <v>Y</v>
      </c>
      <c r="N39" t="str">
        <f t="shared" si="15"/>
        <v>GM00SLVBLU019</v>
      </c>
    </row>
    <row r="40" spans="1:14" x14ac:dyDescent="0.3">
      <c r="A40" t="s">
        <v>121</v>
      </c>
      <c r="B40" t="s">
        <v>15</v>
      </c>
      <c r="C40" t="str">
        <f t="shared" si="8"/>
        <v>Ford</v>
      </c>
      <c r="D40" t="str">
        <f t="shared" si="9"/>
        <v>FCS</v>
      </c>
      <c r="E40" t="str">
        <f t="shared" si="10"/>
        <v>Civic</v>
      </c>
      <c r="F40" t="str">
        <f t="shared" si="11"/>
        <v>06</v>
      </c>
      <c r="G40">
        <f t="shared" si="12"/>
        <v>8</v>
      </c>
      <c r="H40" s="2">
        <v>46311.4</v>
      </c>
      <c r="I40" s="2">
        <f t="shared" si="13"/>
        <v>5448.4000000000005</v>
      </c>
      <c r="J40" t="s">
        <v>22</v>
      </c>
      <c r="K40" t="s">
        <v>27</v>
      </c>
      <c r="L40">
        <v>75000</v>
      </c>
      <c r="M40" t="str">
        <f t="shared" si="14"/>
        <v>Y</v>
      </c>
      <c r="N40" t="str">
        <f t="shared" si="15"/>
        <v>FD06FCSGRE006</v>
      </c>
    </row>
    <row r="41" spans="1:14" x14ac:dyDescent="0.3">
      <c r="A41" t="s">
        <v>57</v>
      </c>
      <c r="B41" t="s">
        <v>52</v>
      </c>
      <c r="C41" t="str">
        <f t="shared" si="8"/>
        <v>Toyota</v>
      </c>
      <c r="D41" t="str">
        <f t="shared" si="9"/>
        <v>CAM</v>
      </c>
      <c r="E41" t="str">
        <f t="shared" si="10"/>
        <v>Camrey</v>
      </c>
      <c r="F41" t="str">
        <f t="shared" si="11"/>
        <v>02</v>
      </c>
      <c r="G41">
        <f t="shared" si="12"/>
        <v>12</v>
      </c>
      <c r="H41" s="2">
        <v>67829.100000000006</v>
      </c>
      <c r="I41" s="2">
        <f t="shared" si="13"/>
        <v>5426.3280000000004</v>
      </c>
      <c r="J41" t="s">
        <v>16</v>
      </c>
      <c r="K41" t="s">
        <v>17</v>
      </c>
      <c r="L41">
        <v>100000</v>
      </c>
      <c r="M41" t="str">
        <f t="shared" si="14"/>
        <v>Y</v>
      </c>
      <c r="N41" t="str">
        <f t="shared" si="15"/>
        <v>TY02CAMBLA023</v>
      </c>
    </row>
    <row r="42" spans="1:14" x14ac:dyDescent="0.3">
      <c r="A42" t="s">
        <v>82</v>
      </c>
      <c r="B42" t="s">
        <v>78</v>
      </c>
      <c r="C42" t="str">
        <f t="shared" si="8"/>
        <v>Chrysler</v>
      </c>
      <c r="D42" t="str">
        <f t="shared" si="9"/>
        <v>CAR</v>
      </c>
      <c r="E42" t="str">
        <f t="shared" si="10"/>
        <v>Caravan</v>
      </c>
      <c r="F42" t="str">
        <f t="shared" si="11"/>
        <v>00</v>
      </c>
      <c r="G42">
        <f t="shared" si="12"/>
        <v>14</v>
      </c>
      <c r="H42" s="2">
        <v>77243.100000000006</v>
      </c>
      <c r="I42" s="2">
        <f t="shared" si="13"/>
        <v>5327.1103448275862</v>
      </c>
      <c r="J42" t="s">
        <v>16</v>
      </c>
      <c r="K42" t="s">
        <v>25</v>
      </c>
      <c r="L42">
        <v>75000</v>
      </c>
      <c r="M42" t="str">
        <f t="shared" si="14"/>
        <v>Not covered</v>
      </c>
      <c r="N42" t="str">
        <f t="shared" si="15"/>
        <v>CR00CARBLA046</v>
      </c>
    </row>
    <row r="43" spans="1:14" x14ac:dyDescent="0.3">
      <c r="A43" t="s">
        <v>66</v>
      </c>
      <c r="B43" t="s">
        <v>67</v>
      </c>
      <c r="C43" t="str">
        <f t="shared" si="8"/>
        <v>Honda</v>
      </c>
      <c r="D43" t="str">
        <f t="shared" si="9"/>
        <v>CIV</v>
      </c>
      <c r="E43" t="str">
        <f t="shared" si="10"/>
        <v>Civic</v>
      </c>
      <c r="F43" t="str">
        <f t="shared" si="11"/>
        <v>99</v>
      </c>
      <c r="G43">
        <f t="shared" si="12"/>
        <v>15</v>
      </c>
      <c r="H43" s="2">
        <v>82374</v>
      </c>
      <c r="I43" s="2">
        <f t="shared" si="13"/>
        <v>5314.4516129032254</v>
      </c>
      <c r="J43" t="s">
        <v>19</v>
      </c>
      <c r="K43" t="s">
        <v>39</v>
      </c>
      <c r="L43">
        <v>75000</v>
      </c>
      <c r="M43" t="str">
        <f t="shared" si="14"/>
        <v>Not covered</v>
      </c>
      <c r="N43" t="str">
        <f t="shared" si="15"/>
        <v>HO99CIVWHI030</v>
      </c>
    </row>
    <row r="44" spans="1:14" x14ac:dyDescent="0.3">
      <c r="A44" t="s">
        <v>18</v>
      </c>
      <c r="B44" t="s">
        <v>15</v>
      </c>
      <c r="C44" t="str">
        <f t="shared" si="8"/>
        <v>Ford</v>
      </c>
      <c r="D44" t="str">
        <f t="shared" si="9"/>
        <v>MTG</v>
      </c>
      <c r="E44" t="str">
        <f t="shared" si="10"/>
        <v>Mustang</v>
      </c>
      <c r="F44" t="str">
        <f t="shared" si="11"/>
        <v>06</v>
      </c>
      <c r="G44">
        <f t="shared" si="12"/>
        <v>8</v>
      </c>
      <c r="H44" s="2">
        <v>44974.8</v>
      </c>
      <c r="I44" s="2">
        <f t="shared" si="13"/>
        <v>5291.1529411764714</v>
      </c>
      <c r="J44" t="s">
        <v>19</v>
      </c>
      <c r="K44" t="s">
        <v>20</v>
      </c>
      <c r="L44">
        <v>50000</v>
      </c>
      <c r="M44" t="str">
        <f t="shared" si="14"/>
        <v>Y</v>
      </c>
      <c r="N44" t="str">
        <f t="shared" si="15"/>
        <v>FD06MTGWHI002</v>
      </c>
    </row>
    <row r="45" spans="1:14" x14ac:dyDescent="0.3">
      <c r="A45" t="s">
        <v>68</v>
      </c>
      <c r="B45" t="s">
        <v>67</v>
      </c>
      <c r="C45" t="str">
        <f t="shared" si="8"/>
        <v>Honda</v>
      </c>
      <c r="D45" t="str">
        <f t="shared" si="9"/>
        <v>CIV</v>
      </c>
      <c r="E45" t="str">
        <f t="shared" si="10"/>
        <v>Civic</v>
      </c>
      <c r="F45" t="str">
        <f t="shared" si="11"/>
        <v>01</v>
      </c>
      <c r="G45">
        <f t="shared" si="12"/>
        <v>13</v>
      </c>
      <c r="H45" s="2">
        <v>69891.899999999994</v>
      </c>
      <c r="I45" s="2">
        <f t="shared" si="13"/>
        <v>5177.177777777777</v>
      </c>
      <c r="J45" t="s">
        <v>50</v>
      </c>
      <c r="K45" t="s">
        <v>25</v>
      </c>
      <c r="L45">
        <v>75000</v>
      </c>
      <c r="M45" t="str">
        <f t="shared" si="14"/>
        <v>Y</v>
      </c>
      <c r="N45" t="str">
        <f t="shared" si="15"/>
        <v>HO01CIVBLU031</v>
      </c>
    </row>
    <row r="46" spans="1:14" x14ac:dyDescent="0.3">
      <c r="A46" t="s">
        <v>119</v>
      </c>
      <c r="B46" t="s">
        <v>40</v>
      </c>
      <c r="C46" t="str">
        <f t="shared" si="8"/>
        <v>General Motors</v>
      </c>
      <c r="D46" t="str">
        <f t="shared" si="9"/>
        <v>CMR</v>
      </c>
      <c r="E46" t="str">
        <f t="shared" si="10"/>
        <v>Civic</v>
      </c>
      <c r="F46" t="str">
        <f t="shared" si="11"/>
        <v>09</v>
      </c>
      <c r="G46">
        <f t="shared" si="12"/>
        <v>5</v>
      </c>
      <c r="H46" s="2">
        <v>28464.799999999999</v>
      </c>
      <c r="I46" s="2">
        <f t="shared" si="13"/>
        <v>5175.4181818181814</v>
      </c>
      <c r="J46" t="s">
        <v>19</v>
      </c>
      <c r="K46" t="s">
        <v>41</v>
      </c>
      <c r="L46">
        <v>100000</v>
      </c>
      <c r="M46" t="str">
        <f t="shared" si="14"/>
        <v>Y</v>
      </c>
      <c r="N46" t="str">
        <f t="shared" si="15"/>
        <v>GM09CMRWHI014</v>
      </c>
    </row>
    <row r="47" spans="1:14" x14ac:dyDescent="0.3">
      <c r="A47" t="s">
        <v>59</v>
      </c>
      <c r="B47" t="s">
        <v>52</v>
      </c>
      <c r="C47" t="str">
        <f t="shared" si="8"/>
        <v>Toyota</v>
      </c>
      <c r="D47" t="str">
        <f t="shared" si="9"/>
        <v>COR</v>
      </c>
      <c r="E47" t="str">
        <f t="shared" si="10"/>
        <v>Civic</v>
      </c>
      <c r="F47" t="str">
        <f t="shared" si="11"/>
        <v>02</v>
      </c>
      <c r="G47">
        <f t="shared" si="12"/>
        <v>12</v>
      </c>
      <c r="H47" s="2">
        <v>64467.4</v>
      </c>
      <c r="I47" s="2">
        <f t="shared" si="13"/>
        <v>5157.3919999999998</v>
      </c>
      <c r="J47" t="s">
        <v>60</v>
      </c>
      <c r="K47" t="s">
        <v>61</v>
      </c>
      <c r="L47">
        <v>100000</v>
      </c>
      <c r="M47" t="str">
        <f t="shared" si="14"/>
        <v>Y</v>
      </c>
      <c r="N47" t="str">
        <f t="shared" si="15"/>
        <v>TY02CORRED025</v>
      </c>
    </row>
    <row r="48" spans="1:14" x14ac:dyDescent="0.3">
      <c r="A48" t="s">
        <v>81</v>
      </c>
      <c r="B48" t="s">
        <v>78</v>
      </c>
      <c r="C48" t="str">
        <f t="shared" si="8"/>
        <v>Chrysler</v>
      </c>
      <c r="D48" t="str">
        <f t="shared" si="9"/>
        <v>CAR</v>
      </c>
      <c r="E48" t="str">
        <f t="shared" si="10"/>
        <v>Caravan</v>
      </c>
      <c r="F48" t="str">
        <f t="shared" si="11"/>
        <v>99</v>
      </c>
      <c r="G48">
        <f t="shared" si="12"/>
        <v>15</v>
      </c>
      <c r="H48" s="2">
        <v>79420.600000000006</v>
      </c>
      <c r="I48" s="2">
        <f t="shared" si="13"/>
        <v>5123.9096774193549</v>
      </c>
      <c r="J48" t="s">
        <v>22</v>
      </c>
      <c r="K48" t="s">
        <v>47</v>
      </c>
      <c r="L48">
        <v>75000</v>
      </c>
      <c r="M48" t="str">
        <f t="shared" si="14"/>
        <v>Not covered</v>
      </c>
      <c r="N48" t="str">
        <f t="shared" si="15"/>
        <v>CR99CARGRE045</v>
      </c>
    </row>
    <row r="49" spans="1:14" x14ac:dyDescent="0.3">
      <c r="A49" t="s">
        <v>118</v>
      </c>
      <c r="B49" t="s">
        <v>67</v>
      </c>
      <c r="C49" t="str">
        <f t="shared" si="8"/>
        <v>Honda</v>
      </c>
      <c r="D49" t="str">
        <f t="shared" si="9"/>
        <v>ODY</v>
      </c>
      <c r="E49" t="str">
        <f t="shared" si="10"/>
        <v>Odyssey</v>
      </c>
      <c r="F49" t="str">
        <f t="shared" si="11"/>
        <v>01</v>
      </c>
      <c r="G49">
        <f t="shared" si="12"/>
        <v>13</v>
      </c>
      <c r="H49" s="2">
        <v>68658.899999999994</v>
      </c>
      <c r="I49" s="2">
        <f t="shared" si="13"/>
        <v>5085.844444444444</v>
      </c>
      <c r="J49" t="s">
        <v>16</v>
      </c>
      <c r="K49" t="s">
        <v>17</v>
      </c>
      <c r="L49">
        <v>100000</v>
      </c>
      <c r="M49" t="str">
        <f t="shared" si="14"/>
        <v>Y</v>
      </c>
      <c r="N49" t="str">
        <f t="shared" si="15"/>
        <v>HO01ODYBLA040</v>
      </c>
    </row>
    <row r="50" spans="1:14" x14ac:dyDescent="0.3">
      <c r="A50" t="s">
        <v>48</v>
      </c>
      <c r="B50" t="s">
        <v>40</v>
      </c>
      <c r="C50" t="str">
        <f t="shared" si="8"/>
        <v>General Motors</v>
      </c>
      <c r="D50" t="str">
        <f t="shared" si="9"/>
        <v>SLV</v>
      </c>
      <c r="E50" t="str">
        <f t="shared" si="10"/>
        <v>Silverado</v>
      </c>
      <c r="F50" t="str">
        <f t="shared" si="11"/>
        <v>98</v>
      </c>
      <c r="G50">
        <f t="shared" si="12"/>
        <v>16</v>
      </c>
      <c r="H50" s="2">
        <v>83162.7</v>
      </c>
      <c r="I50" s="2">
        <f t="shared" si="13"/>
        <v>5040.1636363636362</v>
      </c>
      <c r="J50" t="s">
        <v>16</v>
      </c>
      <c r="K50" t="s">
        <v>41</v>
      </c>
      <c r="L50">
        <v>100000</v>
      </c>
      <c r="M50" t="str">
        <f t="shared" si="14"/>
        <v>Y</v>
      </c>
      <c r="N50" t="str">
        <f t="shared" si="15"/>
        <v>GM98SLVBLA018</v>
      </c>
    </row>
    <row r="51" spans="1:14" x14ac:dyDescent="0.3">
      <c r="A51" t="s">
        <v>84</v>
      </c>
      <c r="B51" t="s">
        <v>78</v>
      </c>
      <c r="C51" t="str">
        <f t="shared" si="8"/>
        <v>Chrysler</v>
      </c>
      <c r="D51" t="str">
        <f t="shared" si="9"/>
        <v>CAR</v>
      </c>
      <c r="E51" t="str">
        <f t="shared" si="10"/>
        <v>Caravan</v>
      </c>
      <c r="F51" t="str">
        <f t="shared" si="11"/>
        <v>04</v>
      </c>
      <c r="G51">
        <f t="shared" si="12"/>
        <v>10</v>
      </c>
      <c r="H51" s="2">
        <v>52699.4</v>
      </c>
      <c r="I51" s="2">
        <f t="shared" si="13"/>
        <v>5018.9904761904763</v>
      </c>
      <c r="J51" t="s">
        <v>60</v>
      </c>
      <c r="K51" t="s">
        <v>43</v>
      </c>
      <c r="L51">
        <v>75000</v>
      </c>
      <c r="M51" t="str">
        <f t="shared" si="14"/>
        <v>Y</v>
      </c>
      <c r="N51" t="str">
        <f t="shared" si="15"/>
        <v>CR04CARRED048</v>
      </c>
    </row>
    <row r="52" spans="1:14" x14ac:dyDescent="0.3">
      <c r="A52" t="s">
        <v>69</v>
      </c>
      <c r="B52" t="s">
        <v>67</v>
      </c>
      <c r="C52" t="str">
        <f t="shared" si="8"/>
        <v>Honda</v>
      </c>
      <c r="D52" t="str">
        <f t="shared" si="9"/>
        <v>CIV</v>
      </c>
      <c r="E52" t="str">
        <f t="shared" si="10"/>
        <v>Civic</v>
      </c>
      <c r="F52" t="str">
        <f t="shared" si="11"/>
        <v>10</v>
      </c>
      <c r="G52">
        <f t="shared" si="12"/>
        <v>4</v>
      </c>
      <c r="H52" s="2">
        <v>22573</v>
      </c>
      <c r="I52" s="2">
        <f t="shared" si="13"/>
        <v>5016.2222222222226</v>
      </c>
      <c r="J52" t="s">
        <v>50</v>
      </c>
      <c r="K52" t="s">
        <v>45</v>
      </c>
      <c r="L52">
        <v>75000</v>
      </c>
      <c r="M52" t="str">
        <f t="shared" si="14"/>
        <v>Y</v>
      </c>
      <c r="N52" t="str">
        <f t="shared" si="15"/>
        <v>HO10CIVBLU032</v>
      </c>
    </row>
    <row r="53" spans="1:14" x14ac:dyDescent="0.3">
      <c r="A53" t="s">
        <v>14</v>
      </c>
      <c r="B53" t="s">
        <v>15</v>
      </c>
      <c r="C53" t="str">
        <f t="shared" si="8"/>
        <v>Ford</v>
      </c>
      <c r="D53" t="str">
        <f t="shared" si="9"/>
        <v>MTG</v>
      </c>
      <c r="E53" t="str">
        <f t="shared" si="10"/>
        <v>Mustang</v>
      </c>
      <c r="F53" t="str">
        <f t="shared" si="11"/>
        <v>06</v>
      </c>
      <c r="G53">
        <f t="shared" si="12"/>
        <v>8</v>
      </c>
      <c r="H53" s="2">
        <v>40326.800000000003</v>
      </c>
      <c r="I53" s="2">
        <f t="shared" si="13"/>
        <v>4744.3294117647065</v>
      </c>
      <c r="J53" t="s">
        <v>16</v>
      </c>
      <c r="K53" t="s">
        <v>17</v>
      </c>
      <c r="L53">
        <v>50000</v>
      </c>
      <c r="M53" t="str">
        <f t="shared" si="14"/>
        <v>Y</v>
      </c>
      <c r="N53" t="str">
        <f t="shared" si="15"/>
        <v>FD06MTGBLA001</v>
      </c>
    </row>
    <row r="56" spans="1:14" x14ac:dyDescent="0.3">
      <c r="B56" t="s">
        <v>78</v>
      </c>
      <c r="C56" t="s">
        <v>90</v>
      </c>
      <c r="D56" t="s">
        <v>96</v>
      </c>
      <c r="E56" t="s">
        <v>97</v>
      </c>
    </row>
    <row r="57" spans="1:14" x14ac:dyDescent="0.3">
      <c r="B57" t="s">
        <v>15</v>
      </c>
      <c r="C57" t="s">
        <v>92</v>
      </c>
      <c r="D57" t="s">
        <v>98</v>
      </c>
      <c r="E57" t="s">
        <v>99</v>
      </c>
    </row>
    <row r="58" spans="1:14" x14ac:dyDescent="0.3">
      <c r="B58" t="s">
        <v>40</v>
      </c>
      <c r="C58" t="s">
        <v>91</v>
      </c>
      <c r="D58" t="s">
        <v>100</v>
      </c>
      <c r="E58" t="s">
        <v>101</v>
      </c>
    </row>
    <row r="59" spans="1:14" x14ac:dyDescent="0.3">
      <c r="B59" t="s">
        <v>67</v>
      </c>
      <c r="C59" t="s">
        <v>93</v>
      </c>
      <c r="D59" t="s">
        <v>102</v>
      </c>
      <c r="E59" t="s">
        <v>103</v>
      </c>
    </row>
    <row r="60" spans="1:14" x14ac:dyDescent="0.3">
      <c r="B60" t="s">
        <v>86</v>
      </c>
      <c r="C60" t="s">
        <v>94</v>
      </c>
      <c r="D60" t="s">
        <v>104</v>
      </c>
      <c r="E60" t="s">
        <v>105</v>
      </c>
    </row>
    <row r="61" spans="1:14" x14ac:dyDescent="0.3">
      <c r="B61" t="s">
        <v>52</v>
      </c>
      <c r="C61" t="s">
        <v>95</v>
      </c>
      <c r="D61" t="s">
        <v>106</v>
      </c>
      <c r="E61" t="s">
        <v>107</v>
      </c>
    </row>
    <row r="62" spans="1:14" x14ac:dyDescent="0.3">
      <c r="D62" t="s">
        <v>108</v>
      </c>
      <c r="E62" t="s">
        <v>109</v>
      </c>
    </row>
    <row r="63" spans="1:14" x14ac:dyDescent="0.3">
      <c r="D63" t="s">
        <v>110</v>
      </c>
      <c r="E63" t="s">
        <v>111</v>
      </c>
    </row>
    <row r="64" spans="1:14" x14ac:dyDescent="0.3">
      <c r="D64" t="s">
        <v>112</v>
      </c>
      <c r="E64" t="s">
        <v>113</v>
      </c>
    </row>
    <row r="65" spans="4:5" x14ac:dyDescent="0.3">
      <c r="D65" t="s">
        <v>114</v>
      </c>
      <c r="E65" t="s">
        <v>115</v>
      </c>
    </row>
    <row r="66" spans="4:5" x14ac:dyDescent="0.3">
      <c r="D66" t="s">
        <v>116</v>
      </c>
      <c r="E66" t="s">
        <v>117</v>
      </c>
    </row>
  </sheetData>
  <sortState xmlns:xlrd2="http://schemas.microsoft.com/office/spreadsheetml/2017/richdata2" ref="A2:N53">
    <sortCondition descending="1" ref="I2:I53"/>
  </sortState>
  <conditionalFormatting sqref="I1:I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D475B-1455-4795-B1AC-267E1D98493D}">
  <dimension ref="A3:B21"/>
  <sheetViews>
    <sheetView topLeftCell="A2" workbookViewId="0">
      <selection activeCell="I25" sqref="I25"/>
    </sheetView>
  </sheetViews>
  <sheetFormatPr defaultRowHeight="14.4" x14ac:dyDescent="0.3"/>
  <cols>
    <col min="1" max="1" width="12.5546875" bestFit="1" customWidth="1"/>
    <col min="2" max="2" width="13.109375" bestFit="1" customWidth="1"/>
  </cols>
  <sheetData>
    <row r="3" spans="1:2" x14ac:dyDescent="0.3">
      <c r="A3" s="3" t="s">
        <v>122</v>
      </c>
      <c r="B3" t="s">
        <v>124</v>
      </c>
    </row>
    <row r="4" spans="1:2" x14ac:dyDescent="0.3">
      <c r="A4" s="4" t="s">
        <v>43</v>
      </c>
      <c r="B4" s="5">
        <v>144647.69999999998</v>
      </c>
    </row>
    <row r="5" spans="1:2" x14ac:dyDescent="0.3">
      <c r="A5" s="4" t="s">
        <v>53</v>
      </c>
      <c r="B5" s="5">
        <v>150656.40000000002</v>
      </c>
    </row>
    <row r="6" spans="1:2" x14ac:dyDescent="0.3">
      <c r="A6" s="4" t="s">
        <v>27</v>
      </c>
      <c r="B6" s="5">
        <v>154427.9</v>
      </c>
    </row>
    <row r="7" spans="1:2" x14ac:dyDescent="0.3">
      <c r="A7" s="4" t="s">
        <v>61</v>
      </c>
      <c r="B7" s="5">
        <v>179986</v>
      </c>
    </row>
    <row r="8" spans="1:2" x14ac:dyDescent="0.3">
      <c r="A8" s="4" t="s">
        <v>30</v>
      </c>
      <c r="B8" s="5">
        <v>143640.70000000001</v>
      </c>
    </row>
    <row r="9" spans="1:2" x14ac:dyDescent="0.3">
      <c r="A9" s="4" t="s">
        <v>47</v>
      </c>
      <c r="B9" s="5">
        <v>135078.20000000001</v>
      </c>
    </row>
    <row r="10" spans="1:2" x14ac:dyDescent="0.3">
      <c r="A10" s="4" t="s">
        <v>25</v>
      </c>
      <c r="B10" s="5">
        <v>184693.8</v>
      </c>
    </row>
    <row r="11" spans="1:2" x14ac:dyDescent="0.3">
      <c r="A11" s="4" t="s">
        <v>23</v>
      </c>
      <c r="B11" s="5">
        <v>127731.3</v>
      </c>
    </row>
    <row r="12" spans="1:2" x14ac:dyDescent="0.3">
      <c r="A12" s="4" t="s">
        <v>20</v>
      </c>
      <c r="B12" s="5">
        <v>70964.899999999994</v>
      </c>
    </row>
    <row r="13" spans="1:2" x14ac:dyDescent="0.3">
      <c r="A13" s="4" t="s">
        <v>33</v>
      </c>
      <c r="B13" s="5">
        <v>65315</v>
      </c>
    </row>
    <row r="14" spans="1:2" x14ac:dyDescent="0.3">
      <c r="A14" s="4" t="s">
        <v>39</v>
      </c>
      <c r="B14" s="5">
        <v>138561.5</v>
      </c>
    </row>
    <row r="15" spans="1:2" x14ac:dyDescent="0.3">
      <c r="A15" s="4" t="s">
        <v>41</v>
      </c>
      <c r="B15" s="5">
        <v>141229.4</v>
      </c>
    </row>
    <row r="16" spans="1:2" x14ac:dyDescent="0.3">
      <c r="A16" s="4" t="s">
        <v>17</v>
      </c>
      <c r="B16" s="5">
        <v>305432.40000000002</v>
      </c>
    </row>
    <row r="17" spans="1:2" x14ac:dyDescent="0.3">
      <c r="A17" s="4" t="s">
        <v>55</v>
      </c>
      <c r="B17" s="5">
        <v>177713.9</v>
      </c>
    </row>
    <row r="18" spans="1:2" x14ac:dyDescent="0.3">
      <c r="A18" s="4" t="s">
        <v>45</v>
      </c>
      <c r="B18" s="5">
        <v>65964.899999999994</v>
      </c>
    </row>
    <row r="19" spans="1:2" x14ac:dyDescent="0.3">
      <c r="A19" s="4" t="s">
        <v>37</v>
      </c>
      <c r="B19" s="5">
        <v>130601.59999999999</v>
      </c>
    </row>
    <row r="20" spans="1:2" x14ac:dyDescent="0.3">
      <c r="A20" s="4" t="s">
        <v>35</v>
      </c>
      <c r="B20" s="5">
        <v>19341.7</v>
      </c>
    </row>
    <row r="21" spans="1:2" x14ac:dyDescent="0.3">
      <c r="A21" s="4" t="s">
        <v>123</v>
      </c>
      <c r="B21" s="5">
        <v>2335987.2999999998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85AE5-C1D5-4B11-9162-E774D616108A}">
  <dimension ref="A1:G6"/>
  <sheetViews>
    <sheetView workbookViewId="0">
      <selection activeCell="C15" sqref="C15"/>
    </sheetView>
  </sheetViews>
  <sheetFormatPr defaultRowHeight="14.4" x14ac:dyDescent="0.3"/>
  <cols>
    <col min="2" max="2" width="15.5546875" customWidth="1"/>
    <col min="3" max="3" width="13.88671875" customWidth="1"/>
    <col min="4" max="4" width="11.33203125" customWidth="1"/>
    <col min="5" max="5" width="13" customWidth="1"/>
    <col min="6" max="6" width="17.44140625" customWidth="1"/>
    <col min="7" max="7" width="20.109375" customWidth="1"/>
  </cols>
  <sheetData>
    <row r="1" spans="1:7" x14ac:dyDescent="0.3">
      <c r="B1" t="s">
        <v>125</v>
      </c>
      <c r="C1" t="s">
        <v>126</v>
      </c>
      <c r="D1" t="s">
        <v>127</v>
      </c>
      <c r="E1" t="s">
        <v>128</v>
      </c>
      <c r="F1" t="s">
        <v>129</v>
      </c>
      <c r="G1" t="s">
        <v>130</v>
      </c>
    </row>
    <row r="2" spans="1:7" x14ac:dyDescent="0.3">
      <c r="A2" t="s">
        <v>131</v>
      </c>
      <c r="B2" s="6">
        <v>20000</v>
      </c>
      <c r="C2" s="7">
        <v>0.09</v>
      </c>
      <c r="D2">
        <v>12</v>
      </c>
      <c r="E2" s="6">
        <v>1800</v>
      </c>
      <c r="F2" s="6">
        <f>B2+E2</f>
        <v>21800</v>
      </c>
      <c r="G2" s="8">
        <f>F2/D2</f>
        <v>1816.6666666666667</v>
      </c>
    </row>
    <row r="3" spans="1:7" x14ac:dyDescent="0.3">
      <c r="A3" t="s">
        <v>132</v>
      </c>
      <c r="B3" s="6">
        <v>20000</v>
      </c>
      <c r="C3" s="7">
        <v>0.08</v>
      </c>
      <c r="D3">
        <v>12</v>
      </c>
      <c r="E3" s="6">
        <v>1600</v>
      </c>
      <c r="F3" s="6">
        <f t="shared" ref="F3:F5" si="0">B3+E3</f>
        <v>21600</v>
      </c>
      <c r="G3" s="8">
        <f t="shared" ref="G3:G5" si="1">F3/D3</f>
        <v>1800</v>
      </c>
    </row>
    <row r="4" spans="1:7" x14ac:dyDescent="0.3">
      <c r="A4" t="s">
        <v>133</v>
      </c>
      <c r="B4" s="6">
        <v>20000</v>
      </c>
      <c r="C4" s="7">
        <v>7.0000000000000007E-2</v>
      </c>
      <c r="D4">
        <v>12</v>
      </c>
      <c r="E4" s="6">
        <v>1400</v>
      </c>
      <c r="F4" s="6">
        <f t="shared" si="0"/>
        <v>21400</v>
      </c>
      <c r="G4" s="8">
        <f t="shared" si="1"/>
        <v>1783.3333333333333</v>
      </c>
    </row>
    <row r="5" spans="1:7" x14ac:dyDescent="0.3">
      <c r="A5" t="s">
        <v>134</v>
      </c>
      <c r="B5" s="6">
        <v>20000</v>
      </c>
      <c r="C5" s="7">
        <v>0.06</v>
      </c>
      <c r="D5">
        <v>12</v>
      </c>
      <c r="E5" s="6">
        <v>1200</v>
      </c>
      <c r="F5" s="6">
        <f t="shared" si="0"/>
        <v>21200</v>
      </c>
      <c r="G5" s="8">
        <f t="shared" si="1"/>
        <v>1766.6666666666667</v>
      </c>
    </row>
    <row r="6" spans="1:7" x14ac:dyDescent="0.3">
      <c r="B6" s="6"/>
      <c r="C6" s="6"/>
      <c r="D6" s="6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77555-E8B9-432C-9B0C-31B67E8E116D}">
  <dimension ref="A2:N19"/>
  <sheetViews>
    <sheetView topLeftCell="B16" workbookViewId="0">
      <selection activeCell="B27" sqref="B27"/>
    </sheetView>
  </sheetViews>
  <sheetFormatPr defaultRowHeight="14.4" x14ac:dyDescent="0.3"/>
  <cols>
    <col min="1" max="1" width="17.109375" customWidth="1"/>
    <col min="2" max="2" width="12.33203125" customWidth="1"/>
    <col min="3" max="3" width="12.109375" customWidth="1"/>
    <col min="4" max="4" width="12.6640625" customWidth="1"/>
    <col min="8" max="8" width="11" customWidth="1"/>
    <col min="9" max="9" width="12" customWidth="1"/>
    <col min="13" max="13" width="12.33203125" customWidth="1"/>
    <col min="14" max="14" width="12.44140625" customWidth="1"/>
  </cols>
  <sheetData>
    <row r="2" spans="1:14" x14ac:dyDescent="0.3">
      <c r="B2" t="s">
        <v>135</v>
      </c>
      <c r="C2" t="s">
        <v>136</v>
      </c>
      <c r="D2" t="s">
        <v>137</v>
      </c>
      <c r="F2" t="s">
        <v>153</v>
      </c>
      <c r="G2" t="s">
        <v>135</v>
      </c>
      <c r="H2" t="s">
        <v>136</v>
      </c>
      <c r="I2" t="s">
        <v>137</v>
      </c>
      <c r="K2" t="s">
        <v>155</v>
      </c>
      <c r="L2" t="s">
        <v>135</v>
      </c>
      <c r="M2" t="s">
        <v>136</v>
      </c>
      <c r="N2" t="s">
        <v>137</v>
      </c>
    </row>
    <row r="3" spans="1:14" x14ac:dyDescent="0.3">
      <c r="A3" t="s">
        <v>138</v>
      </c>
      <c r="B3" s="9">
        <v>0.5</v>
      </c>
      <c r="C3" s="10">
        <v>0.4</v>
      </c>
      <c r="D3" s="10">
        <v>1.4</v>
      </c>
      <c r="F3">
        <v>3</v>
      </c>
      <c r="G3" s="10">
        <f>$F3*B3</f>
        <v>1.5</v>
      </c>
      <c r="H3" s="10">
        <f t="shared" ref="H3:I3" si="0">$F3*C3</f>
        <v>1.2000000000000002</v>
      </c>
      <c r="I3" s="10">
        <f t="shared" si="0"/>
        <v>4.1999999999999993</v>
      </c>
      <c r="K3">
        <v>3</v>
      </c>
      <c r="L3" s="10">
        <f>$K3*G3</f>
        <v>4.5</v>
      </c>
      <c r="M3" s="10">
        <f t="shared" ref="M3:N17" si="1">$K3*H3</f>
        <v>3.6000000000000005</v>
      </c>
      <c r="N3" s="10">
        <f>$K3*I3</f>
        <v>12.599999999999998</v>
      </c>
    </row>
    <row r="4" spans="1:14" x14ac:dyDescent="0.3">
      <c r="A4" t="s">
        <v>139</v>
      </c>
      <c r="B4" s="9">
        <v>28</v>
      </c>
      <c r="C4" s="10">
        <v>33</v>
      </c>
      <c r="D4" s="10">
        <v>1</v>
      </c>
      <c r="F4">
        <v>1</v>
      </c>
      <c r="G4" s="10">
        <f t="shared" ref="G4:G17" si="2">$F4*B4</f>
        <v>28</v>
      </c>
      <c r="H4" s="10">
        <f t="shared" ref="H4:H17" si="3">$F4*C4</f>
        <v>33</v>
      </c>
      <c r="I4" s="10">
        <f t="shared" ref="I4:I17" si="4">$F4*D4</f>
        <v>1</v>
      </c>
      <c r="K4">
        <v>2</v>
      </c>
      <c r="L4" s="10">
        <f t="shared" ref="L4:L17" si="5">$K4*G4</f>
        <v>56</v>
      </c>
      <c r="M4" s="10">
        <f t="shared" si="1"/>
        <v>66</v>
      </c>
      <c r="N4" s="10">
        <f t="shared" si="1"/>
        <v>2</v>
      </c>
    </row>
    <row r="5" spans="1:14" x14ac:dyDescent="0.3">
      <c r="A5" t="s">
        <v>140</v>
      </c>
      <c r="B5" s="9">
        <v>1.8</v>
      </c>
      <c r="C5" s="10">
        <v>1</v>
      </c>
      <c r="D5" s="10">
        <v>2</v>
      </c>
      <c r="F5">
        <v>7</v>
      </c>
      <c r="G5" s="10">
        <f t="shared" si="2"/>
        <v>12.6</v>
      </c>
      <c r="H5" s="10">
        <f t="shared" si="3"/>
        <v>7</v>
      </c>
      <c r="I5" s="10">
        <f t="shared" si="4"/>
        <v>14</v>
      </c>
      <c r="K5">
        <v>2</v>
      </c>
      <c r="L5" s="10">
        <f t="shared" si="5"/>
        <v>25.2</v>
      </c>
      <c r="M5" s="10">
        <f t="shared" si="1"/>
        <v>14</v>
      </c>
      <c r="N5" s="10">
        <f t="shared" si="1"/>
        <v>28</v>
      </c>
    </row>
    <row r="6" spans="1:14" x14ac:dyDescent="0.3">
      <c r="A6" t="s">
        <v>141</v>
      </c>
      <c r="B6" s="9">
        <v>1.2</v>
      </c>
      <c r="C6" s="10">
        <v>0.8</v>
      </c>
      <c r="D6" s="10">
        <v>1.5</v>
      </c>
      <c r="F6">
        <v>1</v>
      </c>
      <c r="G6" s="10">
        <f t="shared" si="2"/>
        <v>1.2</v>
      </c>
      <c r="H6" s="10">
        <f t="shared" si="3"/>
        <v>0.8</v>
      </c>
      <c r="I6" s="10">
        <f t="shared" si="4"/>
        <v>1.5</v>
      </c>
      <c r="K6">
        <v>1</v>
      </c>
      <c r="L6" s="10">
        <f t="shared" si="5"/>
        <v>1.2</v>
      </c>
      <c r="M6" s="10">
        <f t="shared" si="1"/>
        <v>0.8</v>
      </c>
      <c r="N6" s="10">
        <f t="shared" si="1"/>
        <v>1.5</v>
      </c>
    </row>
    <row r="7" spans="1:14" x14ac:dyDescent="0.3">
      <c r="A7" t="s">
        <v>142</v>
      </c>
      <c r="B7" s="9">
        <v>2.4</v>
      </c>
      <c r="C7" s="10">
        <v>1.4</v>
      </c>
      <c r="D7" s="10">
        <v>2.4</v>
      </c>
      <c r="F7">
        <v>2</v>
      </c>
      <c r="G7" s="10">
        <f t="shared" si="2"/>
        <v>4.8</v>
      </c>
      <c r="H7" s="10">
        <f t="shared" si="3"/>
        <v>2.8</v>
      </c>
      <c r="I7" s="10">
        <f t="shared" si="4"/>
        <v>4.8</v>
      </c>
      <c r="K7">
        <v>6</v>
      </c>
      <c r="L7" s="10">
        <f t="shared" si="5"/>
        <v>28.799999999999997</v>
      </c>
      <c r="M7" s="10">
        <f t="shared" si="1"/>
        <v>16.799999999999997</v>
      </c>
      <c r="N7" s="10">
        <f t="shared" si="1"/>
        <v>28.799999999999997</v>
      </c>
    </row>
    <row r="8" spans="1:14" x14ac:dyDescent="0.3">
      <c r="A8" t="s">
        <v>143</v>
      </c>
      <c r="B8" s="9">
        <v>0.9</v>
      </c>
      <c r="C8" s="10">
        <v>0.2</v>
      </c>
      <c r="D8" s="10">
        <v>0.8</v>
      </c>
      <c r="F8">
        <v>2</v>
      </c>
      <c r="G8" s="10">
        <f t="shared" si="2"/>
        <v>1.8</v>
      </c>
      <c r="H8" s="10">
        <f t="shared" si="3"/>
        <v>0.4</v>
      </c>
      <c r="I8" s="10">
        <f t="shared" si="4"/>
        <v>1.6</v>
      </c>
      <c r="K8">
        <v>4</v>
      </c>
      <c r="L8" s="10">
        <f t="shared" si="5"/>
        <v>7.2</v>
      </c>
      <c r="M8" s="10">
        <f t="shared" si="1"/>
        <v>1.6</v>
      </c>
      <c r="N8" s="10">
        <f t="shared" si="1"/>
        <v>6.4</v>
      </c>
    </row>
    <row r="9" spans="1:14" x14ac:dyDescent="0.3">
      <c r="A9" t="s">
        <v>144</v>
      </c>
      <c r="B9" s="9">
        <v>0.99</v>
      </c>
      <c r="C9" s="10">
        <v>0.59</v>
      </c>
      <c r="D9" s="10">
        <v>2.59</v>
      </c>
      <c r="F9">
        <v>1</v>
      </c>
      <c r="G9" s="10">
        <f t="shared" si="2"/>
        <v>0.99</v>
      </c>
      <c r="H9" s="10">
        <f t="shared" si="3"/>
        <v>0.59</v>
      </c>
      <c r="I9" s="10">
        <f t="shared" si="4"/>
        <v>2.59</v>
      </c>
      <c r="K9">
        <v>1</v>
      </c>
      <c r="L9" s="10">
        <f t="shared" si="5"/>
        <v>0.99</v>
      </c>
      <c r="M9" s="10">
        <f t="shared" si="1"/>
        <v>0.59</v>
      </c>
      <c r="N9" s="10">
        <f t="shared" si="1"/>
        <v>2.59</v>
      </c>
    </row>
    <row r="10" spans="1:14" x14ac:dyDescent="0.3">
      <c r="A10" t="s">
        <v>145</v>
      </c>
      <c r="B10" s="9">
        <v>1.25</v>
      </c>
      <c r="C10" s="10">
        <v>3.25</v>
      </c>
      <c r="D10" s="10">
        <v>2.15</v>
      </c>
      <c r="F10">
        <v>4</v>
      </c>
      <c r="G10" s="10">
        <f t="shared" si="2"/>
        <v>5</v>
      </c>
      <c r="H10" s="10">
        <f t="shared" si="3"/>
        <v>13</v>
      </c>
      <c r="I10" s="10">
        <f t="shared" si="4"/>
        <v>8.6</v>
      </c>
      <c r="K10">
        <v>5</v>
      </c>
      <c r="L10" s="10">
        <f t="shared" si="5"/>
        <v>25</v>
      </c>
      <c r="M10" s="10">
        <f t="shared" si="1"/>
        <v>65</v>
      </c>
      <c r="N10" s="10">
        <f t="shared" si="1"/>
        <v>43</v>
      </c>
    </row>
    <row r="11" spans="1:14" x14ac:dyDescent="0.3">
      <c r="A11" t="s">
        <v>146</v>
      </c>
      <c r="B11" s="9">
        <v>9.5</v>
      </c>
      <c r="C11" s="10">
        <v>14</v>
      </c>
      <c r="D11" s="10">
        <v>13</v>
      </c>
      <c r="F11">
        <v>1</v>
      </c>
      <c r="G11" s="10">
        <f t="shared" si="2"/>
        <v>9.5</v>
      </c>
      <c r="H11" s="10">
        <f t="shared" si="3"/>
        <v>14</v>
      </c>
      <c r="I11" s="10">
        <f t="shared" si="4"/>
        <v>13</v>
      </c>
      <c r="K11">
        <v>3</v>
      </c>
      <c r="L11" s="10">
        <f t="shared" si="5"/>
        <v>28.5</v>
      </c>
      <c r="M11" s="10">
        <f t="shared" si="1"/>
        <v>42</v>
      </c>
      <c r="N11" s="10">
        <f t="shared" si="1"/>
        <v>39</v>
      </c>
    </row>
    <row r="12" spans="1:14" x14ac:dyDescent="0.3">
      <c r="A12" t="s">
        <v>147</v>
      </c>
      <c r="B12" s="9">
        <v>4.55</v>
      </c>
      <c r="C12" s="10">
        <v>2.5499999999999998</v>
      </c>
      <c r="D12" s="10">
        <v>6</v>
      </c>
      <c r="F12">
        <v>1</v>
      </c>
      <c r="G12" s="10">
        <f t="shared" si="2"/>
        <v>4.55</v>
      </c>
      <c r="H12" s="10">
        <f t="shared" si="3"/>
        <v>2.5499999999999998</v>
      </c>
      <c r="I12" s="10">
        <f t="shared" si="4"/>
        <v>6</v>
      </c>
      <c r="K12">
        <v>3</v>
      </c>
      <c r="L12" s="10">
        <f t="shared" si="5"/>
        <v>13.649999999999999</v>
      </c>
      <c r="M12" s="10">
        <f t="shared" si="1"/>
        <v>7.6499999999999995</v>
      </c>
      <c r="N12" s="10">
        <f t="shared" si="1"/>
        <v>18</v>
      </c>
    </row>
    <row r="13" spans="1:14" x14ac:dyDescent="0.3">
      <c r="A13" t="s">
        <v>148</v>
      </c>
      <c r="B13" s="9">
        <v>4.2</v>
      </c>
      <c r="C13" s="10">
        <v>2.2000000000000002</v>
      </c>
      <c r="D13" s="10">
        <v>3</v>
      </c>
      <c r="F13">
        <v>1</v>
      </c>
      <c r="G13" s="10">
        <f t="shared" si="2"/>
        <v>4.2</v>
      </c>
      <c r="H13" s="10">
        <f t="shared" si="3"/>
        <v>2.2000000000000002</v>
      </c>
      <c r="I13" s="10">
        <f t="shared" si="4"/>
        <v>3</v>
      </c>
      <c r="K13">
        <v>2</v>
      </c>
      <c r="L13" s="10">
        <f t="shared" si="5"/>
        <v>8.4</v>
      </c>
      <c r="M13" s="10">
        <f t="shared" si="1"/>
        <v>4.4000000000000004</v>
      </c>
      <c r="N13" s="10">
        <f t="shared" si="1"/>
        <v>6</v>
      </c>
    </row>
    <row r="14" spans="1:14" x14ac:dyDescent="0.3">
      <c r="A14" t="s">
        <v>149</v>
      </c>
      <c r="B14" s="9">
        <v>3.9</v>
      </c>
      <c r="C14" s="10">
        <v>5</v>
      </c>
      <c r="D14" s="10">
        <v>8</v>
      </c>
      <c r="F14">
        <v>1</v>
      </c>
      <c r="G14" s="10">
        <f t="shared" si="2"/>
        <v>3.9</v>
      </c>
      <c r="H14" s="10">
        <f t="shared" si="3"/>
        <v>5</v>
      </c>
      <c r="I14" s="10">
        <f t="shared" si="4"/>
        <v>8</v>
      </c>
      <c r="K14">
        <v>1</v>
      </c>
      <c r="L14" s="10">
        <f t="shared" si="5"/>
        <v>3.9</v>
      </c>
      <c r="M14" s="10">
        <f t="shared" si="1"/>
        <v>5</v>
      </c>
      <c r="N14" s="10">
        <f t="shared" si="1"/>
        <v>8</v>
      </c>
    </row>
    <row r="15" spans="1:14" x14ac:dyDescent="0.3">
      <c r="A15" t="s">
        <v>150</v>
      </c>
      <c r="B15" s="9">
        <v>1</v>
      </c>
      <c r="C15" s="10">
        <v>2</v>
      </c>
      <c r="D15" s="10">
        <v>1</v>
      </c>
      <c r="F15">
        <v>1</v>
      </c>
      <c r="G15" s="10">
        <f t="shared" si="2"/>
        <v>1</v>
      </c>
      <c r="H15" s="10">
        <f t="shared" si="3"/>
        <v>2</v>
      </c>
      <c r="I15" s="10">
        <f t="shared" si="4"/>
        <v>1</v>
      </c>
      <c r="K15">
        <v>6</v>
      </c>
      <c r="L15" s="10">
        <f t="shared" si="5"/>
        <v>6</v>
      </c>
      <c r="M15" s="10">
        <f t="shared" si="1"/>
        <v>12</v>
      </c>
      <c r="N15" s="10">
        <f t="shared" si="1"/>
        <v>6</v>
      </c>
    </row>
    <row r="16" spans="1:14" x14ac:dyDescent="0.3">
      <c r="A16" t="s">
        <v>151</v>
      </c>
      <c r="B16" s="9">
        <v>1.75</v>
      </c>
      <c r="C16" s="10">
        <v>2</v>
      </c>
      <c r="D16" s="10">
        <v>1</v>
      </c>
      <c r="F16">
        <v>1</v>
      </c>
      <c r="G16" s="10">
        <f t="shared" si="2"/>
        <v>1.75</v>
      </c>
      <c r="H16" s="10">
        <f t="shared" si="3"/>
        <v>2</v>
      </c>
      <c r="I16" s="10">
        <f t="shared" si="4"/>
        <v>1</v>
      </c>
      <c r="K16">
        <v>3</v>
      </c>
      <c r="L16" s="10">
        <f t="shared" si="5"/>
        <v>5.25</v>
      </c>
      <c r="M16" s="10">
        <f t="shared" si="1"/>
        <v>6</v>
      </c>
      <c r="N16" s="10">
        <f t="shared" si="1"/>
        <v>3</v>
      </c>
    </row>
    <row r="17" spans="1:14" x14ac:dyDescent="0.3">
      <c r="A17" t="s">
        <v>152</v>
      </c>
      <c r="B17" s="9">
        <v>2</v>
      </c>
      <c r="C17" s="10">
        <v>1</v>
      </c>
      <c r="D17" s="10">
        <v>3</v>
      </c>
      <c r="F17">
        <v>1</v>
      </c>
      <c r="G17" s="10">
        <f t="shared" si="2"/>
        <v>2</v>
      </c>
      <c r="H17" s="10">
        <f t="shared" si="3"/>
        <v>1</v>
      </c>
      <c r="I17" s="10">
        <f t="shared" si="4"/>
        <v>3</v>
      </c>
      <c r="K17">
        <v>2</v>
      </c>
      <c r="L17" s="10">
        <f t="shared" si="5"/>
        <v>4</v>
      </c>
      <c r="M17" s="10">
        <f t="shared" si="1"/>
        <v>2</v>
      </c>
      <c r="N17" s="10">
        <f t="shared" si="1"/>
        <v>6</v>
      </c>
    </row>
    <row r="18" spans="1:14" x14ac:dyDescent="0.3">
      <c r="G18" t="s">
        <v>135</v>
      </c>
      <c r="H18" t="s">
        <v>136</v>
      </c>
      <c r="I18" t="s">
        <v>137</v>
      </c>
      <c r="L18" s="10" t="s">
        <v>135</v>
      </c>
      <c r="M18" s="10" t="s">
        <v>136</v>
      </c>
      <c r="N18" s="10" t="s">
        <v>137</v>
      </c>
    </row>
    <row r="19" spans="1:14" x14ac:dyDescent="0.3">
      <c r="F19" t="s">
        <v>154</v>
      </c>
      <c r="G19" s="10">
        <f>SUM(G3:G17)</f>
        <v>82.79</v>
      </c>
      <c r="H19" s="10">
        <f t="shared" ref="H19:I19" si="6">SUM(H3:H17)</f>
        <v>87.539999999999992</v>
      </c>
      <c r="I19" s="10">
        <f t="shared" si="6"/>
        <v>73.289999999999992</v>
      </c>
      <c r="L19" s="10">
        <f t="shared" ref="L19:N19" si="7">SUM(L3:L17)</f>
        <v>218.59</v>
      </c>
      <c r="M19" s="10">
        <f>SUM(M3:M17)</f>
        <v>247.44</v>
      </c>
      <c r="N19" s="10">
        <f t="shared" si="7"/>
        <v>210.89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FD671-1095-4C0D-9AB3-9143ECAB4492}">
  <dimension ref="A1:E18"/>
  <sheetViews>
    <sheetView workbookViewId="0">
      <selection activeCell="F6" sqref="F6"/>
    </sheetView>
  </sheetViews>
  <sheetFormatPr defaultRowHeight="14.4" x14ac:dyDescent="0.3"/>
  <cols>
    <col min="1" max="1" width="13" customWidth="1"/>
    <col min="2" max="2" width="11.109375" customWidth="1"/>
  </cols>
  <sheetData>
    <row r="1" spans="1:5" x14ac:dyDescent="0.3">
      <c r="E1" s="10"/>
    </row>
    <row r="2" spans="1:5" x14ac:dyDescent="0.3">
      <c r="B2" t="s">
        <v>156</v>
      </c>
      <c r="C2" t="s">
        <v>157</v>
      </c>
    </row>
    <row r="3" spans="1:5" x14ac:dyDescent="0.3">
      <c r="A3" s="11" t="s">
        <v>158</v>
      </c>
    </row>
    <row r="4" spans="1:5" x14ac:dyDescent="0.3">
      <c r="A4" t="s">
        <v>159</v>
      </c>
      <c r="B4" s="10">
        <v>50</v>
      </c>
      <c r="C4" s="10">
        <v>90</v>
      </c>
    </row>
    <row r="5" spans="1:5" x14ac:dyDescent="0.3">
      <c r="A5" t="s">
        <v>160</v>
      </c>
      <c r="B5" s="10">
        <v>2.5</v>
      </c>
      <c r="C5" s="10">
        <v>2</v>
      </c>
    </row>
    <row r="6" spans="1:5" x14ac:dyDescent="0.3">
      <c r="A6" t="s">
        <v>161</v>
      </c>
      <c r="B6" s="10">
        <v>5.5</v>
      </c>
      <c r="C6" s="10">
        <v>4.5</v>
      </c>
    </row>
    <row r="7" spans="1:5" x14ac:dyDescent="0.3">
      <c r="A7" t="s">
        <v>162</v>
      </c>
      <c r="B7" s="10">
        <v>7</v>
      </c>
      <c r="C7" s="10">
        <v>7</v>
      </c>
    </row>
    <row r="8" spans="1:5" x14ac:dyDescent="0.3">
      <c r="A8" t="s">
        <v>163</v>
      </c>
      <c r="B8" s="10">
        <v>3</v>
      </c>
      <c r="C8" s="10">
        <v>0</v>
      </c>
    </row>
    <row r="9" spans="1:5" x14ac:dyDescent="0.3">
      <c r="A9" t="s">
        <v>164</v>
      </c>
      <c r="B9" s="10">
        <f>SUM(B4:B8)</f>
        <v>68</v>
      </c>
      <c r="C9" s="10">
        <f>SUM(C4:C8)</f>
        <v>103.5</v>
      </c>
    </row>
    <row r="10" spans="1:5" x14ac:dyDescent="0.3">
      <c r="B10" s="10"/>
      <c r="C10" s="10"/>
    </row>
    <row r="11" spans="1:5" x14ac:dyDescent="0.3">
      <c r="A11" s="11" t="s">
        <v>165</v>
      </c>
      <c r="B11" s="10"/>
      <c r="C11" s="10"/>
    </row>
    <row r="12" spans="1:5" x14ac:dyDescent="0.3">
      <c r="A12" t="s">
        <v>166</v>
      </c>
      <c r="B12" s="10">
        <v>21</v>
      </c>
      <c r="C12" s="10">
        <v>11</v>
      </c>
    </row>
    <row r="13" spans="1:5" x14ac:dyDescent="0.3">
      <c r="A13" t="s">
        <v>167</v>
      </c>
      <c r="B13" s="10">
        <v>0</v>
      </c>
      <c r="C13" s="10">
        <v>8</v>
      </c>
    </row>
    <row r="14" spans="1:5" x14ac:dyDescent="0.3">
      <c r="A14" t="s">
        <v>168</v>
      </c>
      <c r="B14" s="10">
        <v>3</v>
      </c>
      <c r="C14" s="10">
        <v>0</v>
      </c>
    </row>
    <row r="15" spans="1:5" x14ac:dyDescent="0.3">
      <c r="A15" t="s">
        <v>169</v>
      </c>
      <c r="B15" s="13">
        <f>SUM(B12:B14)</f>
        <v>24</v>
      </c>
      <c r="C15" s="13">
        <f>SUM(C12:C14)</f>
        <v>19</v>
      </c>
    </row>
    <row r="16" spans="1:5" x14ac:dyDescent="0.3">
      <c r="A16" t="s">
        <v>170</v>
      </c>
      <c r="B16" s="13">
        <f>B15*2</f>
        <v>48</v>
      </c>
      <c r="C16" s="13">
        <f>C15*2</f>
        <v>38</v>
      </c>
    </row>
    <row r="17" spans="1:3" x14ac:dyDescent="0.3">
      <c r="B17" t="s">
        <v>156</v>
      </c>
      <c r="C17" t="s">
        <v>157</v>
      </c>
    </row>
    <row r="18" spans="1:3" x14ac:dyDescent="0.3">
      <c r="A18" t="s">
        <v>171</v>
      </c>
      <c r="B18" s="12">
        <f>(B16*12)+B9</f>
        <v>644</v>
      </c>
      <c r="C18" s="12">
        <f>(C16*12)+C9</f>
        <v>559.5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8E7C6-8075-4F3F-976D-BCFC06B33A8F}">
  <dimension ref="A1:I33"/>
  <sheetViews>
    <sheetView topLeftCell="D25" workbookViewId="0">
      <selection activeCell="S39" sqref="S39"/>
    </sheetView>
  </sheetViews>
  <sheetFormatPr defaultRowHeight="14.4" x14ac:dyDescent="0.3"/>
  <cols>
    <col min="1" max="1" width="26.6640625" customWidth="1"/>
    <col min="2" max="2" width="10.6640625" customWidth="1"/>
    <col min="3" max="3" width="12.44140625" customWidth="1"/>
    <col min="4" max="4" width="10.109375" bestFit="1" customWidth="1"/>
    <col min="6" max="6" width="26" customWidth="1"/>
    <col min="7" max="7" width="10.109375" bestFit="1" customWidth="1"/>
    <col min="8" max="8" width="12.109375" customWidth="1"/>
    <col min="9" max="9" width="14.88671875" customWidth="1"/>
  </cols>
  <sheetData>
    <row r="1" spans="1:9" x14ac:dyDescent="0.3">
      <c r="A1" t="s">
        <v>153</v>
      </c>
      <c r="B1" t="s">
        <v>172</v>
      </c>
      <c r="C1" t="s">
        <v>173</v>
      </c>
      <c r="D1" t="s">
        <v>174</v>
      </c>
      <c r="F1" t="s">
        <v>155</v>
      </c>
    </row>
    <row r="5" spans="1:9" x14ac:dyDescent="0.3">
      <c r="A5" s="14" t="s">
        <v>175</v>
      </c>
      <c r="F5" s="14" t="s">
        <v>175</v>
      </c>
    </row>
    <row r="6" spans="1:9" x14ac:dyDescent="0.3">
      <c r="A6" s="18" t="s">
        <v>176</v>
      </c>
      <c r="B6" s="10">
        <v>280</v>
      </c>
      <c r="C6" s="10">
        <v>100</v>
      </c>
      <c r="D6" s="10">
        <v>350</v>
      </c>
      <c r="F6" s="18" t="s">
        <v>176</v>
      </c>
      <c r="G6" s="10">
        <v>280</v>
      </c>
      <c r="H6" s="10">
        <v>100</v>
      </c>
      <c r="I6" s="10">
        <v>350</v>
      </c>
    </row>
    <row r="7" spans="1:9" x14ac:dyDescent="0.3">
      <c r="A7" s="18" t="s">
        <v>177</v>
      </c>
      <c r="B7" s="10">
        <v>18</v>
      </c>
      <c r="C7" s="10">
        <v>0</v>
      </c>
      <c r="D7" s="10">
        <v>0</v>
      </c>
      <c r="F7" s="18" t="s">
        <v>177</v>
      </c>
      <c r="G7" s="10">
        <v>18</v>
      </c>
      <c r="H7" s="10">
        <v>0</v>
      </c>
      <c r="I7" s="10">
        <v>0</v>
      </c>
    </row>
    <row r="8" spans="1:9" x14ac:dyDescent="0.3">
      <c r="A8" s="18" t="s">
        <v>178</v>
      </c>
      <c r="B8" s="10">
        <v>25</v>
      </c>
      <c r="C8" s="10">
        <v>0</v>
      </c>
      <c r="D8" s="10">
        <v>0</v>
      </c>
      <c r="F8" s="18" t="s">
        <v>178</v>
      </c>
      <c r="G8" s="10">
        <v>25</v>
      </c>
      <c r="H8" s="10">
        <v>0</v>
      </c>
      <c r="I8" s="10">
        <v>0</v>
      </c>
    </row>
    <row r="9" spans="1:9" x14ac:dyDescent="0.3">
      <c r="A9" s="18" t="s">
        <v>179</v>
      </c>
      <c r="B9" s="10">
        <v>15</v>
      </c>
      <c r="C9" s="10">
        <v>0</v>
      </c>
      <c r="D9" s="10">
        <v>0</v>
      </c>
      <c r="F9" s="18" t="s">
        <v>179</v>
      </c>
      <c r="G9" s="10">
        <v>15</v>
      </c>
      <c r="H9" s="10">
        <v>0</v>
      </c>
      <c r="I9" s="10">
        <v>0</v>
      </c>
    </row>
    <row r="10" spans="1:9" x14ac:dyDescent="0.3">
      <c r="A10" s="18" t="s">
        <v>180</v>
      </c>
      <c r="B10" s="10">
        <v>9</v>
      </c>
      <c r="C10" s="10">
        <v>0</v>
      </c>
      <c r="D10" s="10">
        <v>0</v>
      </c>
      <c r="F10" s="18" t="s">
        <v>180</v>
      </c>
      <c r="G10" s="10">
        <v>9</v>
      </c>
      <c r="H10" s="10">
        <v>0</v>
      </c>
      <c r="I10" s="10">
        <v>0</v>
      </c>
    </row>
    <row r="11" spans="1:9" x14ac:dyDescent="0.3">
      <c r="A11" s="18" t="s">
        <v>181</v>
      </c>
      <c r="B11" s="10">
        <v>0</v>
      </c>
      <c r="C11" s="10">
        <v>99</v>
      </c>
      <c r="D11" s="10">
        <v>0</v>
      </c>
      <c r="F11" s="18" t="s">
        <v>181</v>
      </c>
      <c r="G11" s="10">
        <v>0</v>
      </c>
      <c r="H11" s="10">
        <v>99</v>
      </c>
      <c r="I11" s="10">
        <v>0</v>
      </c>
    </row>
    <row r="12" spans="1:9" x14ac:dyDescent="0.3">
      <c r="A12" s="18" t="s">
        <v>182</v>
      </c>
      <c r="B12" s="10">
        <v>0</v>
      </c>
      <c r="C12" s="10">
        <v>95</v>
      </c>
      <c r="D12" s="10">
        <v>0</v>
      </c>
      <c r="F12" s="18" t="s">
        <v>182</v>
      </c>
      <c r="G12" s="10">
        <v>0</v>
      </c>
      <c r="H12" s="10">
        <v>95</v>
      </c>
      <c r="I12" s="10">
        <v>0</v>
      </c>
    </row>
    <row r="13" spans="1:9" x14ac:dyDescent="0.3">
      <c r="A13" s="18" t="s">
        <v>183</v>
      </c>
      <c r="B13" s="10">
        <v>0</v>
      </c>
      <c r="C13" s="10">
        <v>85</v>
      </c>
      <c r="D13" s="10">
        <v>0</v>
      </c>
      <c r="F13" s="18" t="s">
        <v>183</v>
      </c>
      <c r="G13" s="10">
        <v>0</v>
      </c>
      <c r="H13" s="10">
        <v>85</v>
      </c>
      <c r="I13" s="10">
        <v>0</v>
      </c>
    </row>
    <row r="14" spans="1:9" x14ac:dyDescent="0.3">
      <c r="A14" s="18" t="s">
        <v>184</v>
      </c>
      <c r="B14" s="10">
        <v>0</v>
      </c>
      <c r="C14" s="10">
        <v>85</v>
      </c>
      <c r="D14" s="10">
        <v>0</v>
      </c>
      <c r="F14" s="18" t="s">
        <v>184</v>
      </c>
      <c r="G14" s="10">
        <v>0</v>
      </c>
      <c r="H14" s="10">
        <v>85</v>
      </c>
      <c r="I14" s="10">
        <v>0</v>
      </c>
    </row>
    <row r="15" spans="1:9" x14ac:dyDescent="0.3">
      <c r="A15" s="18" t="s">
        <v>185</v>
      </c>
      <c r="B15" s="10">
        <v>0</v>
      </c>
      <c r="C15" s="10"/>
      <c r="D15" s="10">
        <v>555</v>
      </c>
      <c r="F15" s="18" t="s">
        <v>185</v>
      </c>
      <c r="G15" s="10">
        <v>0</v>
      </c>
      <c r="H15" s="10"/>
      <c r="I15" s="10">
        <v>555</v>
      </c>
    </row>
    <row r="16" spans="1:9" x14ac:dyDescent="0.3">
      <c r="A16" s="18"/>
      <c r="F16" s="18"/>
    </row>
    <row r="17" spans="1:9" x14ac:dyDescent="0.3">
      <c r="A17" s="18" t="s">
        <v>190</v>
      </c>
      <c r="B17" s="13">
        <f>SUM(B6:B15)</f>
        <v>347</v>
      </c>
      <c r="C17" s="13">
        <f>SUM(C6:C14)</f>
        <v>464</v>
      </c>
      <c r="D17" s="13">
        <f>SUM(D6:D15)</f>
        <v>905</v>
      </c>
      <c r="F17" s="18" t="s">
        <v>190</v>
      </c>
      <c r="G17" s="13">
        <f>SUM(G6:G15)</f>
        <v>347</v>
      </c>
      <c r="H17" s="13">
        <f>SUM(H6:H14)</f>
        <v>464</v>
      </c>
      <c r="I17" s="13">
        <f>SUM(I6:I15)</f>
        <v>905</v>
      </c>
    </row>
    <row r="18" spans="1:9" x14ac:dyDescent="0.3">
      <c r="A18" s="18" t="s">
        <v>191</v>
      </c>
      <c r="B18" s="13">
        <v>2</v>
      </c>
      <c r="F18" s="18" t="s">
        <v>191</v>
      </c>
      <c r="G18" s="13">
        <v>3</v>
      </c>
    </row>
    <row r="19" spans="1:9" x14ac:dyDescent="0.3">
      <c r="A19" s="18" t="s">
        <v>192</v>
      </c>
      <c r="B19" s="10">
        <f>B17*B18</f>
        <v>694</v>
      </c>
      <c r="C19" s="10">
        <f>C17*B18</f>
        <v>928</v>
      </c>
      <c r="D19" s="10">
        <f>D17*B18</f>
        <v>1810</v>
      </c>
      <c r="F19" s="18" t="s">
        <v>192</v>
      </c>
      <c r="G19" s="10">
        <f>G17*$G18</f>
        <v>1041</v>
      </c>
      <c r="H19" s="10">
        <f t="shared" ref="H19:I19" si="0">H17*$G18</f>
        <v>1392</v>
      </c>
      <c r="I19" s="10">
        <f t="shared" si="0"/>
        <v>2715</v>
      </c>
    </row>
    <row r="20" spans="1:9" x14ac:dyDescent="0.3">
      <c r="A20" s="18"/>
      <c r="F20" s="18"/>
    </row>
    <row r="21" spans="1:9" x14ac:dyDescent="0.3">
      <c r="A21" s="19" t="s">
        <v>186</v>
      </c>
      <c r="F21" s="19" t="s">
        <v>186</v>
      </c>
    </row>
    <row r="22" spans="1:9" x14ac:dyDescent="0.3">
      <c r="A22" s="18" t="s">
        <v>188</v>
      </c>
      <c r="B22" s="10">
        <v>120</v>
      </c>
      <c r="C22" s="10">
        <v>105</v>
      </c>
      <c r="D22" s="10"/>
      <c r="F22" s="18" t="s">
        <v>188</v>
      </c>
      <c r="G22" s="10">
        <v>120</v>
      </c>
      <c r="H22" s="10">
        <v>105</v>
      </c>
    </row>
    <row r="23" spans="1:9" x14ac:dyDescent="0.3">
      <c r="A23" s="18" t="s">
        <v>187</v>
      </c>
      <c r="B23" s="10">
        <v>5</v>
      </c>
      <c r="C23" s="10"/>
      <c r="D23" s="10"/>
      <c r="F23" s="18" t="s">
        <v>187</v>
      </c>
      <c r="G23" s="10">
        <v>5</v>
      </c>
      <c r="H23" s="10"/>
    </row>
    <row r="24" spans="1:9" x14ac:dyDescent="0.3">
      <c r="A24" s="18" t="s">
        <v>189</v>
      </c>
      <c r="B24" s="10">
        <v>600</v>
      </c>
      <c r="C24" s="10">
        <v>525</v>
      </c>
      <c r="D24" s="10"/>
      <c r="F24" s="18" t="s">
        <v>189</v>
      </c>
      <c r="G24" s="10">
        <v>600</v>
      </c>
      <c r="H24" s="10">
        <v>525</v>
      </c>
    </row>
    <row r="25" spans="1:9" x14ac:dyDescent="0.3">
      <c r="A25" s="18"/>
      <c r="B25" s="10"/>
      <c r="C25" s="10"/>
      <c r="D25" s="10"/>
      <c r="F25" s="18"/>
    </row>
    <row r="26" spans="1:9" x14ac:dyDescent="0.3">
      <c r="A26" s="18" t="s">
        <v>193</v>
      </c>
      <c r="B26" s="10">
        <v>40</v>
      </c>
      <c r="C26" s="10"/>
      <c r="D26" s="10"/>
      <c r="F26" s="18" t="s">
        <v>193</v>
      </c>
      <c r="G26" s="10">
        <v>40</v>
      </c>
      <c r="H26">
        <v>50</v>
      </c>
    </row>
    <row r="27" spans="1:9" x14ac:dyDescent="0.3">
      <c r="A27" s="18" t="s">
        <v>194</v>
      </c>
      <c r="B27" s="10">
        <v>4</v>
      </c>
      <c r="C27" s="10"/>
      <c r="D27" s="10"/>
      <c r="F27" s="18" t="s">
        <v>194</v>
      </c>
      <c r="G27" s="10">
        <v>4</v>
      </c>
      <c r="H27" s="10">
        <v>600</v>
      </c>
    </row>
    <row r="28" spans="1:9" x14ac:dyDescent="0.3">
      <c r="A28" s="18" t="s">
        <v>195</v>
      </c>
      <c r="B28" s="10">
        <v>160</v>
      </c>
      <c r="C28" s="10"/>
      <c r="D28" s="10"/>
      <c r="F28" s="18" t="s">
        <v>195</v>
      </c>
      <c r="G28">
        <f>G26*G27</f>
        <v>160</v>
      </c>
    </row>
    <row r="29" spans="1:9" x14ac:dyDescent="0.3">
      <c r="A29" s="18"/>
      <c r="B29" s="10"/>
      <c r="C29" s="10"/>
      <c r="D29" s="10"/>
      <c r="F29" s="18"/>
    </row>
    <row r="30" spans="1:9" x14ac:dyDescent="0.3">
      <c r="A30" s="18" t="s">
        <v>196</v>
      </c>
      <c r="B30" s="10">
        <v>50</v>
      </c>
      <c r="C30" s="10">
        <v>50</v>
      </c>
      <c r="D30" s="10"/>
      <c r="F30" s="18" t="s">
        <v>196</v>
      </c>
      <c r="G30" s="10">
        <v>50</v>
      </c>
      <c r="H30" s="10">
        <v>50</v>
      </c>
    </row>
    <row r="31" spans="1:9" x14ac:dyDescent="0.3">
      <c r="A31" s="18" t="s">
        <v>197</v>
      </c>
      <c r="B31" s="10">
        <v>400</v>
      </c>
      <c r="C31" s="10">
        <v>400</v>
      </c>
      <c r="D31" s="10"/>
      <c r="F31" s="18" t="s">
        <v>197</v>
      </c>
      <c r="G31" s="10">
        <v>400</v>
      </c>
      <c r="H31" s="10">
        <v>600</v>
      </c>
    </row>
    <row r="32" spans="1:9" x14ac:dyDescent="0.3">
      <c r="B32" s="15" t="s">
        <v>198</v>
      </c>
      <c r="C32" s="15" t="s">
        <v>199</v>
      </c>
      <c r="D32" s="15" t="s">
        <v>200</v>
      </c>
      <c r="G32" s="15" t="s">
        <v>198</v>
      </c>
      <c r="H32" s="15" t="s">
        <v>199</v>
      </c>
      <c r="I32" s="15" t="s">
        <v>200</v>
      </c>
    </row>
    <row r="33" spans="1:9" x14ac:dyDescent="0.3">
      <c r="A33" t="s">
        <v>154</v>
      </c>
      <c r="B33" s="17">
        <f>SUM(B19,B24,B28,B31)</f>
        <v>1854</v>
      </c>
      <c r="C33" s="17">
        <f t="shared" ref="C33:D33" si="1">SUM(C19,C24,C28,C31)</f>
        <v>1853</v>
      </c>
      <c r="D33" s="17">
        <f t="shared" si="1"/>
        <v>1810</v>
      </c>
      <c r="F33" t="s">
        <v>154</v>
      </c>
      <c r="G33" s="16">
        <v>2401</v>
      </c>
      <c r="H33" s="17">
        <v>2517</v>
      </c>
      <c r="I33" s="17">
        <v>2715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49E66-DEDF-4F5F-BD6D-DAACE9DAB56E}">
  <dimension ref="A1:I19"/>
  <sheetViews>
    <sheetView workbookViewId="0">
      <selection activeCell="G13" sqref="G13:I15"/>
    </sheetView>
  </sheetViews>
  <sheetFormatPr defaultRowHeight="14.4" x14ac:dyDescent="0.3"/>
  <cols>
    <col min="1" max="1" width="20.88671875" customWidth="1"/>
    <col min="2" max="2" width="10.109375" bestFit="1" customWidth="1"/>
    <col min="6" max="6" width="11.109375" bestFit="1" customWidth="1"/>
    <col min="7" max="7" width="12" customWidth="1"/>
    <col min="8" max="8" width="11.109375" bestFit="1" customWidth="1"/>
    <col min="9" max="9" width="10.5546875" customWidth="1"/>
  </cols>
  <sheetData>
    <row r="1" spans="1:9" x14ac:dyDescent="0.3">
      <c r="A1" t="s">
        <v>201</v>
      </c>
      <c r="B1" t="s">
        <v>204</v>
      </c>
      <c r="C1" t="s">
        <v>202</v>
      </c>
      <c r="D1" t="s">
        <v>203</v>
      </c>
      <c r="F1" t="s">
        <v>218</v>
      </c>
      <c r="G1" t="s">
        <v>204</v>
      </c>
      <c r="H1" t="s">
        <v>202</v>
      </c>
      <c r="I1" t="s">
        <v>203</v>
      </c>
    </row>
    <row r="2" spans="1:9" x14ac:dyDescent="0.3">
      <c r="A2" t="s">
        <v>205</v>
      </c>
      <c r="B2" s="10">
        <v>29</v>
      </c>
      <c r="C2" s="10">
        <v>149</v>
      </c>
      <c r="D2" s="10">
        <v>549</v>
      </c>
      <c r="G2" s="10">
        <v>29</v>
      </c>
      <c r="H2" s="10">
        <v>149</v>
      </c>
      <c r="I2" s="10">
        <v>549</v>
      </c>
    </row>
    <row r="4" spans="1:9" x14ac:dyDescent="0.3">
      <c r="A4" s="15" t="s">
        <v>206</v>
      </c>
      <c r="B4" s="17">
        <v>40</v>
      </c>
      <c r="C4" s="17">
        <v>90</v>
      </c>
      <c r="D4" s="17">
        <v>370</v>
      </c>
      <c r="G4" s="17">
        <v>40</v>
      </c>
      <c r="H4" s="17">
        <v>90</v>
      </c>
      <c r="I4" s="17">
        <v>370</v>
      </c>
    </row>
    <row r="5" spans="1:9" x14ac:dyDescent="0.3">
      <c r="A5" s="15" t="s">
        <v>207</v>
      </c>
      <c r="B5" s="15">
        <v>200</v>
      </c>
      <c r="C5" s="20">
        <v>1000</v>
      </c>
      <c r="D5" s="20">
        <v>11000</v>
      </c>
      <c r="G5" s="15">
        <v>200</v>
      </c>
      <c r="H5" s="20">
        <v>1000</v>
      </c>
      <c r="I5" s="20">
        <v>11000</v>
      </c>
    </row>
    <row r="6" spans="1:9" x14ac:dyDescent="0.3">
      <c r="A6" s="15" t="s">
        <v>208</v>
      </c>
      <c r="B6" s="17">
        <f>B4/B5</f>
        <v>0.2</v>
      </c>
      <c r="C6" s="17">
        <f t="shared" ref="C6:D6" si="0">C4/C5</f>
        <v>0.09</v>
      </c>
      <c r="D6" s="17">
        <f t="shared" si="0"/>
        <v>3.3636363636363638E-2</v>
      </c>
      <c r="G6" s="17">
        <f>G4/G5</f>
        <v>0.2</v>
      </c>
      <c r="H6" s="17">
        <f t="shared" ref="H6" si="1">H4/H5</f>
        <v>0.09</v>
      </c>
      <c r="I6" s="17">
        <f t="shared" ref="I6" si="2">I4/I5</f>
        <v>3.3636363636363638E-2</v>
      </c>
    </row>
    <row r="7" spans="1:9" x14ac:dyDescent="0.3">
      <c r="F7" s="2"/>
    </row>
    <row r="8" spans="1:9" x14ac:dyDescent="0.3">
      <c r="A8" s="21" t="s">
        <v>209</v>
      </c>
      <c r="B8" s="25">
        <v>15</v>
      </c>
      <c r="C8" s="23"/>
      <c r="D8" s="23"/>
      <c r="F8" s="2"/>
      <c r="G8" s="25">
        <v>500</v>
      </c>
      <c r="H8" s="21"/>
      <c r="I8" s="21"/>
    </row>
    <row r="9" spans="1:9" x14ac:dyDescent="0.3">
      <c r="A9" s="21" t="s">
        <v>210</v>
      </c>
      <c r="B9" s="25">
        <v>5</v>
      </c>
      <c r="C9" s="23"/>
      <c r="D9" s="23"/>
      <c r="F9" s="2"/>
      <c r="G9" s="25">
        <v>5</v>
      </c>
      <c r="H9" s="21"/>
      <c r="I9" s="21"/>
    </row>
    <row r="10" spans="1:9" x14ac:dyDescent="0.3">
      <c r="A10" s="21" t="s">
        <v>212</v>
      </c>
      <c r="B10" s="25">
        <v>50</v>
      </c>
      <c r="C10" s="23"/>
      <c r="D10" s="23"/>
      <c r="F10" s="2"/>
      <c r="G10" s="25">
        <v>50</v>
      </c>
      <c r="H10" s="21"/>
      <c r="I10" s="21"/>
    </row>
    <row r="11" spans="1:9" x14ac:dyDescent="0.3">
      <c r="A11" s="21" t="s">
        <v>211</v>
      </c>
      <c r="B11" s="25">
        <f>B8*B9*B10</f>
        <v>3750</v>
      </c>
      <c r="C11" s="23"/>
      <c r="D11" s="23"/>
      <c r="F11" s="2"/>
      <c r="G11" s="25">
        <f>G8*G9*G10</f>
        <v>125000</v>
      </c>
      <c r="H11" s="21"/>
      <c r="I11" s="21"/>
    </row>
    <row r="13" spans="1:9" x14ac:dyDescent="0.3">
      <c r="A13" s="22" t="s">
        <v>213</v>
      </c>
      <c r="B13" s="22">
        <f>B8*B9</f>
        <v>75</v>
      </c>
      <c r="C13" s="22">
        <f>B8*B9</f>
        <v>75</v>
      </c>
      <c r="D13" s="22">
        <f>B8*B9</f>
        <v>75</v>
      </c>
      <c r="G13" s="22">
        <f>G8*G9</f>
        <v>2500</v>
      </c>
      <c r="H13" s="22">
        <f>G8*G9</f>
        <v>2500</v>
      </c>
      <c r="I13" s="22">
        <f>G8*G9</f>
        <v>2500</v>
      </c>
    </row>
    <row r="14" spans="1:9" x14ac:dyDescent="0.3">
      <c r="A14" s="22" t="s">
        <v>214</v>
      </c>
      <c r="B14" s="24">
        <f>B6*B11</f>
        <v>750</v>
      </c>
      <c r="C14" s="24">
        <f>C6*B11</f>
        <v>337.5</v>
      </c>
      <c r="D14" s="24">
        <f>D6*B11</f>
        <v>126.13636363636364</v>
      </c>
      <c r="G14" s="26">
        <f>G11*G6</f>
        <v>25000</v>
      </c>
      <c r="H14" s="26">
        <f>H6*G11</f>
        <v>11250</v>
      </c>
      <c r="I14" s="26">
        <f>I6*G11</f>
        <v>4204.545454545455</v>
      </c>
    </row>
    <row r="15" spans="1:9" x14ac:dyDescent="0.3">
      <c r="A15" s="22" t="s">
        <v>215</v>
      </c>
      <c r="B15" s="24">
        <f>B14*2</f>
        <v>1500</v>
      </c>
      <c r="C15" s="24">
        <f>C14*2</f>
        <v>675</v>
      </c>
      <c r="D15" s="24">
        <f>D6*B11</f>
        <v>126.13636363636364</v>
      </c>
      <c r="G15" s="24">
        <f>2*G14</f>
        <v>50000</v>
      </c>
      <c r="H15" s="24">
        <f>2*H14</f>
        <v>22500</v>
      </c>
      <c r="I15" s="24">
        <f>2*I14</f>
        <v>8409.0909090909099</v>
      </c>
    </row>
    <row r="17" spans="1:9" x14ac:dyDescent="0.3">
      <c r="A17" t="s">
        <v>216</v>
      </c>
    </row>
    <row r="18" spans="1:9" x14ac:dyDescent="0.3">
      <c r="B18" t="s">
        <v>204</v>
      </c>
      <c r="C18" t="s">
        <v>202</v>
      </c>
      <c r="D18" t="s">
        <v>203</v>
      </c>
      <c r="G18" t="s">
        <v>204</v>
      </c>
      <c r="H18" t="s">
        <v>202</v>
      </c>
      <c r="I18" t="s">
        <v>203</v>
      </c>
    </row>
    <row r="19" spans="1:9" x14ac:dyDescent="0.3">
      <c r="A19" t="s">
        <v>217</v>
      </c>
      <c r="B19" s="13">
        <f>B2+B15</f>
        <v>1529</v>
      </c>
      <c r="C19" s="13">
        <f>C2+C15</f>
        <v>824</v>
      </c>
      <c r="D19" s="13">
        <f>D2+D15</f>
        <v>675.13636363636363</v>
      </c>
      <c r="G19" s="13">
        <f>G2+G15</f>
        <v>50029</v>
      </c>
      <c r="H19" s="13">
        <f>H2+H15</f>
        <v>22649</v>
      </c>
      <c r="I19" s="13">
        <f>I2+I15</f>
        <v>8958.0909090909099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B0564-661F-42F6-BC9D-69E1FF4310EC}">
  <dimension ref="A1:I28"/>
  <sheetViews>
    <sheetView tabSelected="1" workbookViewId="0">
      <selection activeCell="E27" sqref="E27"/>
    </sheetView>
  </sheetViews>
  <sheetFormatPr defaultRowHeight="14.4" x14ac:dyDescent="0.3"/>
  <cols>
    <col min="1" max="1" width="35.21875" customWidth="1"/>
    <col min="2" max="2" width="10.109375" bestFit="1" customWidth="1"/>
    <col min="3" max="3" width="11.88671875" customWidth="1"/>
    <col min="4" max="4" width="14.21875" customWidth="1"/>
    <col min="5" max="5" width="14.109375" customWidth="1"/>
    <col min="6" max="6" width="28.88671875" customWidth="1"/>
    <col min="7" max="7" width="14.88671875" customWidth="1"/>
    <col min="8" max="8" width="18.44140625" customWidth="1"/>
    <col min="9" max="9" width="13.77734375" customWidth="1"/>
  </cols>
  <sheetData>
    <row r="1" spans="1:9" x14ac:dyDescent="0.3">
      <c r="A1" t="s">
        <v>153</v>
      </c>
      <c r="B1" t="s">
        <v>219</v>
      </c>
      <c r="C1" t="s">
        <v>220</v>
      </c>
      <c r="D1" t="s">
        <v>221</v>
      </c>
      <c r="F1" t="s">
        <v>155</v>
      </c>
      <c r="G1" t="s">
        <v>219</v>
      </c>
      <c r="H1" t="s">
        <v>220</v>
      </c>
      <c r="I1" t="s">
        <v>221</v>
      </c>
    </row>
    <row r="2" spans="1:9" x14ac:dyDescent="0.3">
      <c r="A2" s="15" t="s">
        <v>222</v>
      </c>
      <c r="B2" s="15">
        <v>14500</v>
      </c>
      <c r="C2" s="15">
        <v>31000</v>
      </c>
      <c r="D2" s="15">
        <v>72000</v>
      </c>
      <c r="F2" s="15" t="s">
        <v>222</v>
      </c>
      <c r="G2" s="15">
        <v>14500</v>
      </c>
      <c r="H2" s="15">
        <v>31000</v>
      </c>
      <c r="I2" s="15">
        <v>72000</v>
      </c>
    </row>
    <row r="3" spans="1:9" x14ac:dyDescent="0.3">
      <c r="A3" s="15" t="s">
        <v>223</v>
      </c>
      <c r="B3" s="15">
        <v>14500</v>
      </c>
      <c r="C3" s="15">
        <v>31000</v>
      </c>
      <c r="D3" s="15">
        <v>72000</v>
      </c>
      <c r="F3" s="15" t="s">
        <v>223</v>
      </c>
      <c r="G3" s="15">
        <f>0.4*G2</f>
        <v>5800</v>
      </c>
      <c r="H3" s="15">
        <f>0.4*H2</f>
        <v>12400</v>
      </c>
      <c r="I3" s="15">
        <f>0.4*I2</f>
        <v>28800</v>
      </c>
    </row>
    <row r="4" spans="1:9" x14ac:dyDescent="0.3">
      <c r="A4" s="15" t="s">
        <v>224</v>
      </c>
      <c r="B4" s="15">
        <v>1450</v>
      </c>
      <c r="C4" s="15">
        <v>3100</v>
      </c>
      <c r="D4" s="15">
        <v>7200</v>
      </c>
      <c r="F4" s="15" t="s">
        <v>224</v>
      </c>
      <c r="G4" s="15">
        <v>1450</v>
      </c>
      <c r="H4" s="15">
        <v>3100</v>
      </c>
      <c r="I4" s="15">
        <v>7200</v>
      </c>
    </row>
    <row r="5" spans="1:9" x14ac:dyDescent="0.3">
      <c r="A5" s="29"/>
      <c r="B5" s="29"/>
      <c r="C5" s="29"/>
      <c r="D5" s="29"/>
    </row>
    <row r="6" spans="1:9" x14ac:dyDescent="0.3">
      <c r="A6" s="27" t="s">
        <v>225</v>
      </c>
      <c r="B6" s="27"/>
      <c r="C6" s="27"/>
      <c r="D6" s="27"/>
      <c r="F6" s="27" t="s">
        <v>225</v>
      </c>
      <c r="G6" s="27"/>
      <c r="H6" s="27"/>
      <c r="I6" s="27"/>
    </row>
    <row r="7" spans="1:9" x14ac:dyDescent="0.3">
      <c r="A7" s="27" t="s">
        <v>226</v>
      </c>
      <c r="B7" s="30">
        <v>1500</v>
      </c>
      <c r="C7" s="30">
        <v>2500</v>
      </c>
      <c r="D7" s="30">
        <v>3100</v>
      </c>
      <c r="F7" s="27" t="s">
        <v>226</v>
      </c>
      <c r="G7" s="27">
        <v>1500</v>
      </c>
      <c r="H7" s="27">
        <v>2500</v>
      </c>
      <c r="I7" s="27">
        <v>3100</v>
      </c>
    </row>
    <row r="8" spans="1:9" x14ac:dyDescent="0.3">
      <c r="A8" s="27" t="s">
        <v>227</v>
      </c>
      <c r="B8" s="30">
        <v>210</v>
      </c>
      <c r="C8" s="30">
        <v>300</v>
      </c>
      <c r="D8" s="30">
        <v>450</v>
      </c>
      <c r="F8" s="27" t="s">
        <v>227</v>
      </c>
      <c r="G8" s="27">
        <v>210</v>
      </c>
      <c r="H8" s="27">
        <v>300</v>
      </c>
      <c r="I8" s="27">
        <v>450</v>
      </c>
    </row>
    <row r="9" spans="1:9" x14ac:dyDescent="0.3">
      <c r="A9" s="27" t="s">
        <v>228</v>
      </c>
      <c r="B9" s="27">
        <v>90</v>
      </c>
      <c r="C9" s="27">
        <v>90</v>
      </c>
      <c r="D9" s="27">
        <v>90</v>
      </c>
      <c r="F9" s="27" t="s">
        <v>228</v>
      </c>
      <c r="G9" s="27">
        <v>90</v>
      </c>
      <c r="H9" s="27">
        <v>90</v>
      </c>
      <c r="I9" s="27">
        <v>90</v>
      </c>
    </row>
    <row r="12" spans="1:9" x14ac:dyDescent="0.3">
      <c r="A12" s="28" t="s">
        <v>229</v>
      </c>
      <c r="B12" s="28"/>
      <c r="C12" s="28"/>
      <c r="D12" s="28"/>
      <c r="F12" s="28" t="s">
        <v>229</v>
      </c>
      <c r="G12" s="28"/>
      <c r="H12" s="28"/>
      <c r="I12" s="28"/>
    </row>
    <row r="13" spans="1:9" x14ac:dyDescent="0.3">
      <c r="A13" s="28" t="s">
        <v>230</v>
      </c>
      <c r="B13" s="28">
        <v>30000</v>
      </c>
      <c r="C13" s="28"/>
      <c r="D13" s="28"/>
      <c r="F13" s="28" t="s">
        <v>230</v>
      </c>
      <c r="G13" s="28">
        <v>30000</v>
      </c>
      <c r="H13" s="28"/>
      <c r="I13" s="28"/>
    </row>
    <row r="14" spans="1:9" x14ac:dyDescent="0.3">
      <c r="A14" s="28" t="s">
        <v>231</v>
      </c>
      <c r="B14" s="28">
        <v>35</v>
      </c>
      <c r="C14" s="28">
        <v>35</v>
      </c>
      <c r="D14" s="28">
        <v>35</v>
      </c>
      <c r="F14" s="28" t="s">
        <v>231</v>
      </c>
      <c r="G14" s="28">
        <v>35</v>
      </c>
      <c r="H14" s="28">
        <v>35</v>
      </c>
      <c r="I14" s="28">
        <v>35</v>
      </c>
    </row>
    <row r="15" spans="1:9" x14ac:dyDescent="0.3">
      <c r="A15" s="28" t="s">
        <v>232</v>
      </c>
      <c r="B15" s="28"/>
      <c r="C15" s="28"/>
      <c r="D15" s="28"/>
      <c r="F15" s="28" t="s">
        <v>232</v>
      </c>
      <c r="G15" s="28"/>
      <c r="H15" s="28"/>
      <c r="I15" s="28"/>
    </row>
    <row r="16" spans="1:9" x14ac:dyDescent="0.3">
      <c r="A16" s="28" t="s">
        <v>233</v>
      </c>
      <c r="B16" s="28"/>
      <c r="C16" s="28"/>
      <c r="D16" s="28"/>
      <c r="F16" s="28" t="s">
        <v>233</v>
      </c>
      <c r="G16" s="28"/>
      <c r="H16" s="28"/>
      <c r="I16" s="28"/>
    </row>
    <row r="18" spans="1:6" x14ac:dyDescent="0.3">
      <c r="A18" t="s">
        <v>234</v>
      </c>
      <c r="B18" s="13"/>
      <c r="F18" t="s">
        <v>234</v>
      </c>
    </row>
    <row r="20" spans="1:6" x14ac:dyDescent="0.3">
      <c r="A20" t="s">
        <v>235</v>
      </c>
      <c r="F20" t="s">
        <v>235</v>
      </c>
    </row>
    <row r="21" spans="1:6" x14ac:dyDescent="0.3">
      <c r="A21" t="s">
        <v>236</v>
      </c>
      <c r="F21" t="s">
        <v>236</v>
      </c>
    </row>
    <row r="22" spans="1:6" x14ac:dyDescent="0.3">
      <c r="A22" t="s">
        <v>237</v>
      </c>
      <c r="F22" t="s">
        <v>237</v>
      </c>
    </row>
    <row r="24" spans="1:6" x14ac:dyDescent="0.3">
      <c r="A24" t="s">
        <v>238</v>
      </c>
      <c r="F24" t="s">
        <v>238</v>
      </c>
    </row>
    <row r="26" spans="1:6" x14ac:dyDescent="0.3">
      <c r="A26" t="s">
        <v>239</v>
      </c>
      <c r="F26" t="s">
        <v>239</v>
      </c>
    </row>
    <row r="27" spans="1:6" x14ac:dyDescent="0.3">
      <c r="B27" t="s">
        <v>219</v>
      </c>
      <c r="C27" t="s">
        <v>220</v>
      </c>
      <c r="D27" t="s">
        <v>221</v>
      </c>
    </row>
    <row r="28" spans="1:6" x14ac:dyDescent="0.3">
      <c r="A28" t="s">
        <v>240</v>
      </c>
      <c r="F28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CAR INVENTORY</vt:lpstr>
      <vt:lpstr>Miles</vt:lpstr>
      <vt:lpstr>PAYMENT LOAN</vt:lpstr>
      <vt:lpstr>SUSAN AND TIM</vt:lpstr>
      <vt:lpstr>ONE YEAR COST</vt:lpstr>
      <vt:lpstr>VACATION</vt:lpstr>
      <vt:lpstr>PRINTING</vt:lpstr>
      <vt:lpstr>CAR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 WOMAN</dc:creator>
  <cp:lastModifiedBy>GREAT WOMAN</cp:lastModifiedBy>
  <dcterms:created xsi:type="dcterms:W3CDTF">2025-09-16T17:44:33Z</dcterms:created>
  <dcterms:modified xsi:type="dcterms:W3CDTF">2025-11-13T14:47:34Z</dcterms:modified>
</cp:coreProperties>
</file>